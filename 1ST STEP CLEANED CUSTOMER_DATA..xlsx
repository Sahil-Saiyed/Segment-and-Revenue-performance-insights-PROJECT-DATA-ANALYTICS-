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OneDrive\Desktop\All 5 Csv\"/>
    </mc:Choice>
  </mc:AlternateContent>
  <xr:revisionPtr revIDLastSave="0" documentId="8_{4D2B6B4A-7681-43E0-AAF6-6A8B99C91BA9}" xr6:coauthVersionLast="47" xr6:coauthVersionMax="47" xr10:uidLastSave="{00000000-0000-0000-0000-000000000000}"/>
  <bookViews>
    <workbookView xWindow="-110" yWindow="-110" windowWidth="19420" windowHeight="10300" xr2:uid="{B0ABF3C9-71D5-4200-AE98-CD6EB6A3EBB2}"/>
  </bookViews>
  <sheets>
    <sheet name="CUSTOMER_DATA" sheetId="1" r:id="rId1"/>
  </sheets>
  <externalReferences>
    <externalReference r:id="rId2"/>
  </externalReferences>
  <definedNames>
    <definedName name="customerdata">[1]!Table4[#All]</definedName>
    <definedName name="Sales_data">Table2[]</definedName>
  </definedNames>
  <calcPr calcId="191029"/>
  <pivotCaches>
    <pivotCache cacheId="0" r:id="rId3"/>
  </pivotCaches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2" i="1" l="1"/>
  <c r="I2" i="1"/>
  <c r="J2" i="1"/>
  <c r="H3" i="1"/>
  <c r="I3" i="1"/>
  <c r="J3" i="1"/>
  <c r="K2" i="1" s="1"/>
  <c r="H4" i="1"/>
  <c r="I4" i="1"/>
  <c r="J4" i="1"/>
  <c r="K3" i="1" s="1"/>
  <c r="L4" i="1"/>
  <c r="H5" i="1"/>
  <c r="I5" i="1"/>
  <c r="J5" i="1"/>
  <c r="K4" i="1" s="1"/>
  <c r="K5" i="1"/>
  <c r="H6" i="1"/>
  <c r="I6" i="1"/>
  <c r="J6" i="1"/>
  <c r="H7" i="1"/>
  <c r="I7" i="1"/>
  <c r="J7" i="1"/>
  <c r="K6" i="1" s="1"/>
  <c r="H8" i="1"/>
  <c r="I8" i="1"/>
  <c r="J8" i="1"/>
  <c r="K7" i="1" s="1"/>
  <c r="L8" i="1"/>
  <c r="H9" i="1"/>
  <c r="I9" i="1"/>
  <c r="L9" i="1" s="1"/>
  <c r="J9" i="1"/>
  <c r="K8" i="1" s="1"/>
  <c r="K9" i="1"/>
  <c r="H10" i="1"/>
  <c r="I10" i="1"/>
  <c r="J10" i="1"/>
  <c r="H11" i="1"/>
  <c r="I11" i="1"/>
  <c r="J11" i="1"/>
  <c r="K10" i="1" s="1"/>
  <c r="H12" i="1"/>
  <c r="I12" i="1"/>
  <c r="J12" i="1"/>
  <c r="K11" i="1" s="1"/>
  <c r="L12" i="1"/>
  <c r="H13" i="1"/>
  <c r="I13" i="1"/>
  <c r="J13" i="1"/>
  <c r="K12" i="1" s="1"/>
  <c r="K13" i="1"/>
  <c r="H14" i="1"/>
  <c r="I14" i="1"/>
  <c r="J14" i="1"/>
  <c r="H15" i="1"/>
  <c r="I15" i="1"/>
  <c r="J15" i="1"/>
  <c r="K14" i="1" s="1"/>
  <c r="H16" i="1"/>
  <c r="I16" i="1"/>
  <c r="J16" i="1"/>
  <c r="K15" i="1" s="1"/>
  <c r="L16" i="1"/>
  <c r="H17" i="1"/>
  <c r="I17" i="1"/>
  <c r="L17" i="1" s="1"/>
  <c r="J17" i="1"/>
  <c r="K16" i="1" s="1"/>
  <c r="K17" i="1"/>
  <c r="H18" i="1"/>
  <c r="I18" i="1"/>
  <c r="J18" i="1"/>
  <c r="H19" i="1"/>
  <c r="I19" i="1"/>
  <c r="J19" i="1"/>
  <c r="K18" i="1" s="1"/>
  <c r="H20" i="1"/>
  <c r="I20" i="1"/>
  <c r="J20" i="1"/>
  <c r="K19" i="1" s="1"/>
  <c r="L20" i="1"/>
  <c r="H21" i="1"/>
  <c r="I21" i="1"/>
  <c r="J21" i="1"/>
  <c r="K20" i="1" s="1"/>
  <c r="K21" i="1"/>
  <c r="H22" i="1"/>
  <c r="I22" i="1"/>
  <c r="J22" i="1"/>
  <c r="H23" i="1"/>
  <c r="I23" i="1"/>
  <c r="J23" i="1"/>
  <c r="K22" i="1" s="1"/>
  <c r="H24" i="1"/>
  <c r="I24" i="1"/>
  <c r="J24" i="1"/>
  <c r="K23" i="1" s="1"/>
  <c r="L24" i="1"/>
  <c r="H25" i="1"/>
  <c r="I25" i="1"/>
  <c r="L25" i="1" s="1"/>
  <c r="J25" i="1"/>
  <c r="K24" i="1" s="1"/>
  <c r="K25" i="1"/>
  <c r="H26" i="1"/>
  <c r="I26" i="1"/>
  <c r="J26" i="1"/>
  <c r="H27" i="1"/>
  <c r="I27" i="1"/>
  <c r="J27" i="1"/>
  <c r="K26" i="1" s="1"/>
  <c r="H28" i="1"/>
  <c r="I28" i="1"/>
  <c r="J28" i="1"/>
  <c r="K27" i="1" s="1"/>
  <c r="L28" i="1"/>
  <c r="H29" i="1"/>
  <c r="I29" i="1"/>
  <c r="J29" i="1"/>
  <c r="K28" i="1" s="1"/>
  <c r="K29" i="1"/>
  <c r="H30" i="1"/>
  <c r="I30" i="1"/>
  <c r="J30" i="1"/>
  <c r="H31" i="1"/>
  <c r="I31" i="1"/>
  <c r="J31" i="1"/>
  <c r="K30" i="1" s="1"/>
  <c r="H32" i="1"/>
  <c r="I32" i="1"/>
  <c r="J32" i="1"/>
  <c r="K31" i="1" s="1"/>
  <c r="L32" i="1"/>
  <c r="H33" i="1"/>
  <c r="I33" i="1"/>
  <c r="L33" i="1" s="1"/>
  <c r="J33" i="1"/>
  <c r="K32" i="1" s="1"/>
  <c r="K33" i="1"/>
  <c r="H34" i="1"/>
  <c r="I34" i="1"/>
  <c r="J34" i="1"/>
  <c r="H35" i="1"/>
  <c r="I35" i="1"/>
  <c r="J35" i="1"/>
  <c r="K34" i="1" s="1"/>
  <c r="H36" i="1"/>
  <c r="I36" i="1"/>
  <c r="J36" i="1"/>
  <c r="K35" i="1" s="1"/>
  <c r="L36" i="1"/>
  <c r="H37" i="1"/>
  <c r="I37" i="1"/>
  <c r="J37" i="1"/>
  <c r="K36" i="1" s="1"/>
  <c r="K37" i="1"/>
  <c r="H38" i="1"/>
  <c r="I38" i="1"/>
  <c r="J38" i="1"/>
  <c r="H39" i="1"/>
  <c r="I39" i="1"/>
  <c r="J39" i="1"/>
  <c r="K38" i="1" s="1"/>
  <c r="H40" i="1"/>
  <c r="I40" i="1"/>
  <c r="J40" i="1"/>
  <c r="K39" i="1" s="1"/>
  <c r="L40" i="1"/>
  <c r="H41" i="1"/>
  <c r="I41" i="1"/>
  <c r="L41" i="1" s="1"/>
  <c r="J41" i="1"/>
  <c r="K40" i="1" s="1"/>
  <c r="K41" i="1"/>
  <c r="H42" i="1"/>
  <c r="I42" i="1"/>
  <c r="J42" i="1"/>
  <c r="H43" i="1"/>
  <c r="I43" i="1"/>
  <c r="J43" i="1"/>
  <c r="K42" i="1" s="1"/>
  <c r="H44" i="1"/>
  <c r="I44" i="1"/>
  <c r="J44" i="1"/>
  <c r="K43" i="1" s="1"/>
  <c r="L44" i="1"/>
  <c r="H45" i="1"/>
  <c r="I45" i="1"/>
  <c r="J45" i="1"/>
  <c r="K44" i="1" s="1"/>
  <c r="K45" i="1"/>
  <c r="H46" i="1"/>
  <c r="I46" i="1"/>
  <c r="J46" i="1"/>
  <c r="H47" i="1"/>
  <c r="I47" i="1"/>
  <c r="J47" i="1"/>
  <c r="K46" i="1" s="1"/>
  <c r="H48" i="1"/>
  <c r="I48" i="1"/>
  <c r="J48" i="1"/>
  <c r="K47" i="1" s="1"/>
  <c r="L48" i="1"/>
  <c r="H49" i="1"/>
  <c r="I49" i="1"/>
  <c r="L49" i="1" s="1"/>
  <c r="J49" i="1"/>
  <c r="K48" i="1" s="1"/>
  <c r="K49" i="1"/>
  <c r="H50" i="1"/>
  <c r="I50" i="1"/>
  <c r="J50" i="1"/>
  <c r="H51" i="1"/>
  <c r="I51" i="1"/>
  <c r="J51" i="1"/>
  <c r="K50" i="1" s="1"/>
  <c r="H52" i="1"/>
  <c r="I52" i="1"/>
  <c r="J52" i="1"/>
  <c r="K51" i="1" s="1"/>
  <c r="L52" i="1"/>
  <c r="H53" i="1"/>
  <c r="I53" i="1"/>
  <c r="J53" i="1"/>
  <c r="K52" i="1" s="1"/>
  <c r="K53" i="1"/>
  <c r="H54" i="1"/>
  <c r="I54" i="1"/>
  <c r="J54" i="1"/>
  <c r="H55" i="1"/>
  <c r="I55" i="1"/>
  <c r="J55" i="1"/>
  <c r="K54" i="1" s="1"/>
  <c r="H56" i="1"/>
  <c r="I56" i="1"/>
  <c r="J56" i="1"/>
  <c r="K55" i="1" s="1"/>
  <c r="L56" i="1"/>
  <c r="H57" i="1"/>
  <c r="I57" i="1"/>
  <c r="L57" i="1" s="1"/>
  <c r="J57" i="1"/>
  <c r="K56" i="1" s="1"/>
  <c r="K57" i="1"/>
  <c r="H58" i="1"/>
  <c r="I58" i="1"/>
  <c r="J58" i="1"/>
  <c r="H59" i="1"/>
  <c r="I59" i="1"/>
  <c r="J59" i="1"/>
  <c r="K58" i="1" s="1"/>
  <c r="H60" i="1"/>
  <c r="I60" i="1"/>
  <c r="J60" i="1"/>
  <c r="K59" i="1" s="1"/>
  <c r="L60" i="1"/>
  <c r="H61" i="1"/>
  <c r="I61" i="1"/>
  <c r="J61" i="1"/>
  <c r="K60" i="1" s="1"/>
  <c r="K61" i="1"/>
  <c r="H62" i="1"/>
  <c r="I62" i="1"/>
  <c r="J62" i="1"/>
  <c r="H63" i="1"/>
  <c r="I63" i="1"/>
  <c r="J63" i="1"/>
  <c r="K62" i="1" s="1"/>
  <c r="H64" i="1"/>
  <c r="I64" i="1"/>
  <c r="J64" i="1"/>
  <c r="K63" i="1" s="1"/>
  <c r="L64" i="1"/>
  <c r="H65" i="1"/>
  <c r="I65" i="1"/>
  <c r="L65" i="1" s="1"/>
  <c r="J65" i="1"/>
  <c r="K64" i="1" s="1"/>
  <c r="K65" i="1"/>
  <c r="H66" i="1"/>
  <c r="I66" i="1"/>
  <c r="J66" i="1"/>
  <c r="H67" i="1"/>
  <c r="I67" i="1"/>
  <c r="J67" i="1"/>
  <c r="K66" i="1" s="1"/>
  <c r="H68" i="1"/>
  <c r="I68" i="1"/>
  <c r="J68" i="1"/>
  <c r="K67" i="1" s="1"/>
  <c r="L68" i="1"/>
  <c r="H69" i="1"/>
  <c r="I69" i="1"/>
  <c r="J69" i="1"/>
  <c r="K68" i="1" s="1"/>
  <c r="K69" i="1"/>
  <c r="H70" i="1"/>
  <c r="I70" i="1"/>
  <c r="J70" i="1"/>
  <c r="H71" i="1"/>
  <c r="I71" i="1"/>
  <c r="J71" i="1"/>
  <c r="K70" i="1" s="1"/>
  <c r="H72" i="1"/>
  <c r="I72" i="1"/>
  <c r="J72" i="1"/>
  <c r="K71" i="1" s="1"/>
  <c r="L72" i="1"/>
  <c r="H73" i="1"/>
  <c r="I73" i="1"/>
  <c r="J73" i="1"/>
  <c r="K72" i="1" s="1"/>
  <c r="K73" i="1"/>
  <c r="H74" i="1"/>
  <c r="I74" i="1"/>
  <c r="J74" i="1"/>
  <c r="H75" i="1"/>
  <c r="I75" i="1"/>
  <c r="J75" i="1"/>
  <c r="K74" i="1" s="1"/>
  <c r="H76" i="1"/>
  <c r="I76" i="1"/>
  <c r="J76" i="1"/>
  <c r="K75" i="1" s="1"/>
  <c r="L76" i="1"/>
  <c r="H77" i="1"/>
  <c r="I77" i="1"/>
  <c r="J77" i="1"/>
  <c r="K76" i="1" s="1"/>
  <c r="K77" i="1"/>
  <c r="H78" i="1"/>
  <c r="I78" i="1"/>
  <c r="J78" i="1"/>
  <c r="H79" i="1"/>
  <c r="I79" i="1"/>
  <c r="J79" i="1"/>
  <c r="K78" i="1" s="1"/>
  <c r="H80" i="1"/>
  <c r="I80" i="1"/>
  <c r="J80" i="1"/>
  <c r="K79" i="1" s="1"/>
  <c r="L80" i="1"/>
  <c r="H81" i="1"/>
  <c r="I81" i="1"/>
  <c r="J81" i="1"/>
  <c r="K80" i="1" s="1"/>
  <c r="K81" i="1"/>
  <c r="H82" i="1"/>
  <c r="I82" i="1"/>
  <c r="J82" i="1"/>
  <c r="H83" i="1"/>
  <c r="I83" i="1"/>
  <c r="J83" i="1"/>
  <c r="K82" i="1" s="1"/>
  <c r="H84" i="1"/>
  <c r="I84" i="1"/>
  <c r="J84" i="1"/>
  <c r="K83" i="1" s="1"/>
  <c r="L84" i="1"/>
  <c r="H85" i="1"/>
  <c r="I85" i="1"/>
  <c r="J85" i="1"/>
  <c r="K84" i="1" s="1"/>
  <c r="K85" i="1"/>
  <c r="H86" i="1"/>
  <c r="I86" i="1"/>
  <c r="J86" i="1"/>
  <c r="H87" i="1"/>
  <c r="I87" i="1"/>
  <c r="J87" i="1"/>
  <c r="K86" i="1" s="1"/>
  <c r="H88" i="1"/>
  <c r="I88" i="1"/>
  <c r="J88" i="1"/>
  <c r="K87" i="1" s="1"/>
  <c r="L88" i="1"/>
  <c r="H89" i="1"/>
  <c r="I89" i="1"/>
  <c r="J89" i="1"/>
  <c r="K88" i="1" s="1"/>
  <c r="K89" i="1"/>
  <c r="H90" i="1"/>
  <c r="I90" i="1"/>
  <c r="J90" i="1"/>
  <c r="H91" i="1"/>
  <c r="I91" i="1"/>
  <c r="J91" i="1"/>
  <c r="K90" i="1" s="1"/>
  <c r="H92" i="1"/>
  <c r="I92" i="1"/>
  <c r="J92" i="1"/>
  <c r="K91" i="1" s="1"/>
  <c r="L92" i="1"/>
  <c r="H93" i="1"/>
  <c r="I93" i="1"/>
  <c r="J93" i="1"/>
  <c r="K92" i="1" s="1"/>
  <c r="K93" i="1"/>
  <c r="H94" i="1"/>
  <c r="I94" i="1"/>
  <c r="J94" i="1"/>
  <c r="H95" i="1"/>
  <c r="I95" i="1"/>
  <c r="J95" i="1"/>
  <c r="K94" i="1" s="1"/>
  <c r="H96" i="1"/>
  <c r="I96" i="1"/>
  <c r="J96" i="1"/>
  <c r="K95" i="1" s="1"/>
  <c r="L96" i="1"/>
  <c r="H97" i="1"/>
  <c r="I97" i="1"/>
  <c r="J97" i="1"/>
  <c r="K96" i="1" s="1"/>
  <c r="K97" i="1"/>
  <c r="H98" i="1"/>
  <c r="I98" i="1"/>
  <c r="J98" i="1"/>
  <c r="H99" i="1"/>
  <c r="I99" i="1"/>
  <c r="J99" i="1"/>
  <c r="K98" i="1" s="1"/>
  <c r="H100" i="1"/>
  <c r="I100" i="1"/>
  <c r="J100" i="1"/>
  <c r="K99" i="1" s="1"/>
  <c r="L100" i="1"/>
  <c r="H101" i="1"/>
  <c r="I101" i="1"/>
  <c r="J101" i="1"/>
  <c r="K100" i="1" s="1"/>
  <c r="K101" i="1"/>
  <c r="H102" i="1"/>
  <c r="I102" i="1"/>
  <c r="J102" i="1"/>
  <c r="H103" i="1"/>
  <c r="I103" i="1"/>
  <c r="J103" i="1"/>
  <c r="K102" i="1" s="1"/>
  <c r="H104" i="1"/>
  <c r="I104" i="1"/>
  <c r="J104" i="1"/>
  <c r="K103" i="1" s="1"/>
  <c r="L104" i="1"/>
  <c r="H105" i="1"/>
  <c r="I105" i="1"/>
  <c r="J105" i="1"/>
  <c r="K104" i="1" s="1"/>
  <c r="K105" i="1"/>
  <c r="H106" i="1"/>
  <c r="I106" i="1"/>
  <c r="J106" i="1"/>
  <c r="H107" i="1"/>
  <c r="I107" i="1"/>
  <c r="J107" i="1"/>
  <c r="K106" i="1" s="1"/>
  <c r="H108" i="1"/>
  <c r="I108" i="1"/>
  <c r="J108" i="1"/>
  <c r="K107" i="1" s="1"/>
  <c r="L108" i="1"/>
  <c r="H109" i="1"/>
  <c r="I109" i="1"/>
  <c r="J109" i="1"/>
  <c r="K108" i="1" s="1"/>
  <c r="K109" i="1"/>
  <c r="H110" i="1"/>
  <c r="I110" i="1"/>
  <c r="J110" i="1"/>
  <c r="H111" i="1"/>
  <c r="I111" i="1"/>
  <c r="J111" i="1"/>
  <c r="K110" i="1" s="1"/>
  <c r="H112" i="1"/>
  <c r="I112" i="1"/>
  <c r="J112" i="1"/>
  <c r="K111" i="1" s="1"/>
  <c r="L112" i="1"/>
  <c r="H113" i="1"/>
  <c r="I113" i="1"/>
  <c r="J113" i="1"/>
  <c r="K112" i="1" s="1"/>
  <c r="K113" i="1"/>
  <c r="H114" i="1"/>
  <c r="I114" i="1"/>
  <c r="J114" i="1"/>
  <c r="H115" i="1"/>
  <c r="I115" i="1"/>
  <c r="J115" i="1"/>
  <c r="K114" i="1" s="1"/>
  <c r="H116" i="1"/>
  <c r="I116" i="1"/>
  <c r="J116" i="1"/>
  <c r="K115" i="1" s="1"/>
  <c r="L116" i="1"/>
  <c r="H117" i="1"/>
  <c r="I117" i="1"/>
  <c r="J117" i="1"/>
  <c r="K116" i="1" s="1"/>
  <c r="K117" i="1"/>
  <c r="H118" i="1"/>
  <c r="I118" i="1"/>
  <c r="J118" i="1"/>
  <c r="H119" i="1"/>
  <c r="I119" i="1"/>
  <c r="J119" i="1"/>
  <c r="K118" i="1" s="1"/>
  <c r="H120" i="1"/>
  <c r="I120" i="1"/>
  <c r="J120" i="1"/>
  <c r="K119" i="1" s="1"/>
  <c r="L120" i="1"/>
  <c r="H121" i="1"/>
  <c r="I121" i="1"/>
  <c r="J121" i="1"/>
  <c r="K120" i="1" s="1"/>
  <c r="K121" i="1"/>
  <c r="H122" i="1"/>
  <c r="I122" i="1"/>
  <c r="J122" i="1"/>
  <c r="H123" i="1"/>
  <c r="I123" i="1"/>
  <c r="J123" i="1"/>
  <c r="K122" i="1" s="1"/>
  <c r="H124" i="1"/>
  <c r="I124" i="1"/>
  <c r="J124" i="1"/>
  <c r="K123" i="1" s="1"/>
  <c r="L124" i="1"/>
  <c r="H125" i="1"/>
  <c r="I125" i="1"/>
  <c r="J125" i="1"/>
  <c r="K124" i="1" s="1"/>
  <c r="K125" i="1"/>
  <c r="H126" i="1"/>
  <c r="I126" i="1"/>
  <c r="J126" i="1"/>
  <c r="H127" i="1"/>
  <c r="I127" i="1"/>
  <c r="J127" i="1"/>
  <c r="K126" i="1" s="1"/>
  <c r="H128" i="1"/>
  <c r="I128" i="1"/>
  <c r="J128" i="1"/>
  <c r="K127" i="1" s="1"/>
  <c r="L128" i="1"/>
  <c r="H129" i="1"/>
  <c r="I129" i="1"/>
  <c r="J129" i="1"/>
  <c r="K128" i="1" s="1"/>
  <c r="K129" i="1"/>
  <c r="H130" i="1"/>
  <c r="I130" i="1"/>
  <c r="J130" i="1"/>
  <c r="H131" i="1"/>
  <c r="I131" i="1"/>
  <c r="J131" i="1"/>
  <c r="K130" i="1" s="1"/>
  <c r="H132" i="1"/>
  <c r="I132" i="1"/>
  <c r="J132" i="1"/>
  <c r="K131" i="1" s="1"/>
  <c r="L132" i="1"/>
  <c r="H133" i="1"/>
  <c r="I133" i="1"/>
  <c r="J133" i="1"/>
  <c r="K132" i="1" s="1"/>
  <c r="K133" i="1"/>
  <c r="H134" i="1"/>
  <c r="I134" i="1"/>
  <c r="J134" i="1"/>
  <c r="H135" i="1"/>
  <c r="I135" i="1"/>
  <c r="J135" i="1"/>
  <c r="K134" i="1" s="1"/>
  <c r="H136" i="1"/>
  <c r="I136" i="1"/>
  <c r="J136" i="1"/>
  <c r="K135" i="1" s="1"/>
  <c r="L136" i="1"/>
  <c r="H137" i="1"/>
  <c r="I137" i="1"/>
  <c r="J137" i="1"/>
  <c r="K136" i="1" s="1"/>
  <c r="K137" i="1"/>
  <c r="H138" i="1"/>
  <c r="I138" i="1"/>
  <c r="J138" i="1"/>
  <c r="H139" i="1"/>
  <c r="I139" i="1"/>
  <c r="J139" i="1"/>
  <c r="K138" i="1" s="1"/>
  <c r="H140" i="1"/>
  <c r="I140" i="1"/>
  <c r="J140" i="1"/>
  <c r="K139" i="1" s="1"/>
  <c r="L140" i="1"/>
  <c r="H141" i="1"/>
  <c r="I141" i="1"/>
  <c r="J141" i="1"/>
  <c r="K140" i="1" s="1"/>
  <c r="K141" i="1"/>
  <c r="H142" i="1"/>
  <c r="I142" i="1"/>
  <c r="J142" i="1"/>
  <c r="H143" i="1"/>
  <c r="I143" i="1"/>
  <c r="J143" i="1"/>
  <c r="K142" i="1" s="1"/>
  <c r="H144" i="1"/>
  <c r="I144" i="1"/>
  <c r="J144" i="1"/>
  <c r="K143" i="1" s="1"/>
  <c r="L144" i="1"/>
  <c r="H145" i="1"/>
  <c r="I145" i="1"/>
  <c r="J145" i="1"/>
  <c r="K144" i="1" s="1"/>
  <c r="K145" i="1"/>
  <c r="H146" i="1"/>
  <c r="I146" i="1"/>
  <c r="J146" i="1"/>
  <c r="H147" i="1"/>
  <c r="I147" i="1"/>
  <c r="L147" i="1" s="1"/>
  <c r="J147" i="1"/>
  <c r="K146" i="1" s="1"/>
  <c r="H148" i="1"/>
  <c r="I148" i="1"/>
  <c r="J148" i="1"/>
  <c r="K147" i="1" s="1"/>
  <c r="H149" i="1"/>
  <c r="I149" i="1"/>
  <c r="J149" i="1"/>
  <c r="K149" i="1"/>
  <c r="H150" i="1"/>
  <c r="I150" i="1"/>
  <c r="J150" i="1"/>
  <c r="H151" i="1"/>
  <c r="L151" i="1" s="1"/>
  <c r="I151" i="1"/>
  <c r="J151" i="1"/>
  <c r="K150" i="1" s="1"/>
  <c r="H152" i="1"/>
  <c r="I152" i="1"/>
  <c r="J152" i="1"/>
  <c r="K151" i="1" s="1"/>
  <c r="H153" i="1"/>
  <c r="I153" i="1"/>
  <c r="J153" i="1"/>
  <c r="K153" i="1"/>
  <c r="H154" i="1"/>
  <c r="I154" i="1"/>
  <c r="J154" i="1"/>
  <c r="H155" i="1"/>
  <c r="L155" i="1" s="1"/>
  <c r="I155" i="1"/>
  <c r="J155" i="1"/>
  <c r="K154" i="1" s="1"/>
  <c r="H156" i="1"/>
  <c r="I156" i="1"/>
  <c r="J156" i="1"/>
  <c r="K155" i="1" s="1"/>
  <c r="H157" i="1"/>
  <c r="I157" i="1"/>
  <c r="J157" i="1"/>
  <c r="K157" i="1"/>
  <c r="H158" i="1"/>
  <c r="I158" i="1"/>
  <c r="J158" i="1"/>
  <c r="H159" i="1"/>
  <c r="L159" i="1" s="1"/>
  <c r="I159" i="1"/>
  <c r="J159" i="1"/>
  <c r="K158" i="1" s="1"/>
  <c r="H160" i="1"/>
  <c r="I160" i="1"/>
  <c r="J160" i="1"/>
  <c r="K159" i="1" s="1"/>
  <c r="H161" i="1"/>
  <c r="I161" i="1"/>
  <c r="J161" i="1"/>
  <c r="K161" i="1"/>
  <c r="H162" i="1"/>
  <c r="I162" i="1"/>
  <c r="J162" i="1"/>
  <c r="H163" i="1"/>
  <c r="L163" i="1" s="1"/>
  <c r="I163" i="1"/>
  <c r="J163" i="1"/>
  <c r="K162" i="1" s="1"/>
  <c r="H164" i="1"/>
  <c r="I164" i="1"/>
  <c r="J164" i="1"/>
  <c r="K163" i="1" s="1"/>
  <c r="H165" i="1"/>
  <c r="I165" i="1"/>
  <c r="J165" i="1"/>
  <c r="K164" i="1" s="1"/>
  <c r="L164" i="1" s="1"/>
  <c r="H166" i="1"/>
  <c r="I166" i="1"/>
  <c r="J166" i="1"/>
  <c r="K165" i="1" s="1"/>
  <c r="L165" i="1" s="1"/>
  <c r="H167" i="1"/>
  <c r="L167" i="1" s="1"/>
  <c r="I167" i="1"/>
  <c r="J167" i="1"/>
  <c r="K166" i="1" s="1"/>
  <c r="H168" i="1"/>
  <c r="I168" i="1"/>
  <c r="J168" i="1"/>
  <c r="K167" i="1" s="1"/>
  <c r="H169" i="1"/>
  <c r="I169" i="1"/>
  <c r="J169" i="1"/>
  <c r="K168" i="1" s="1"/>
  <c r="L168" i="1" s="1"/>
  <c r="H170" i="1"/>
  <c r="I170" i="1"/>
  <c r="J170" i="1"/>
  <c r="K169" i="1" s="1"/>
  <c r="H171" i="1"/>
  <c r="I171" i="1"/>
  <c r="J171" i="1"/>
  <c r="K170" i="1" s="1"/>
  <c r="H172" i="1"/>
  <c r="I172" i="1"/>
  <c r="J172" i="1"/>
  <c r="K171" i="1" s="1"/>
  <c r="H173" i="1"/>
  <c r="I173" i="1"/>
  <c r="J173" i="1"/>
  <c r="K172" i="1" s="1"/>
  <c r="H174" i="1"/>
  <c r="I174" i="1"/>
  <c r="J174" i="1"/>
  <c r="K173" i="1" s="1"/>
  <c r="L173" i="1" s="1"/>
  <c r="H175" i="1"/>
  <c r="I175" i="1"/>
  <c r="J175" i="1"/>
  <c r="K174" i="1" s="1"/>
  <c r="H176" i="1"/>
  <c r="I176" i="1"/>
  <c r="J176" i="1"/>
  <c r="K175" i="1" s="1"/>
  <c r="H177" i="1"/>
  <c r="I177" i="1"/>
  <c r="J177" i="1"/>
  <c r="K176" i="1" s="1"/>
  <c r="H178" i="1"/>
  <c r="I178" i="1"/>
  <c r="J178" i="1"/>
  <c r="K177" i="1" s="1"/>
  <c r="L177" i="1" s="1"/>
  <c r="H179" i="1"/>
  <c r="I179" i="1"/>
  <c r="J179" i="1"/>
  <c r="K178" i="1" s="1"/>
  <c r="H180" i="1"/>
  <c r="I180" i="1"/>
  <c r="J180" i="1"/>
  <c r="K179" i="1" s="1"/>
  <c r="H181" i="1"/>
  <c r="I181" i="1"/>
  <c r="J181" i="1"/>
  <c r="K180" i="1" s="1"/>
  <c r="H182" i="1"/>
  <c r="I182" i="1"/>
  <c r="J182" i="1"/>
  <c r="K181" i="1" s="1"/>
  <c r="L181" i="1" s="1"/>
  <c r="H183" i="1"/>
  <c r="I183" i="1"/>
  <c r="J183" i="1"/>
  <c r="K182" i="1" s="1"/>
  <c r="H184" i="1"/>
  <c r="I184" i="1"/>
  <c r="J184" i="1"/>
  <c r="K183" i="1" s="1"/>
  <c r="H185" i="1"/>
  <c r="I185" i="1"/>
  <c r="J185" i="1"/>
  <c r="K184" i="1" s="1"/>
  <c r="H186" i="1"/>
  <c r="I186" i="1"/>
  <c r="J186" i="1"/>
  <c r="K185" i="1" s="1"/>
  <c r="L185" i="1" s="1"/>
  <c r="H187" i="1"/>
  <c r="I187" i="1"/>
  <c r="J187" i="1"/>
  <c r="K186" i="1" s="1"/>
  <c r="H188" i="1"/>
  <c r="I188" i="1"/>
  <c r="J188" i="1"/>
  <c r="K187" i="1" s="1"/>
  <c r="H189" i="1"/>
  <c r="G256" i="1" s="1"/>
  <c r="I189" i="1"/>
  <c r="J189" i="1"/>
  <c r="K188" i="1" s="1"/>
  <c r="H190" i="1"/>
  <c r="I190" i="1"/>
  <c r="J190" i="1"/>
  <c r="K189" i="1" s="1"/>
  <c r="L189" i="1" s="1"/>
  <c r="H191" i="1"/>
  <c r="I191" i="1"/>
  <c r="J191" i="1"/>
  <c r="K190" i="1" s="1"/>
  <c r="H192" i="1"/>
  <c r="I192" i="1"/>
  <c r="J192" i="1"/>
  <c r="K191" i="1" s="1"/>
  <c r="H193" i="1"/>
  <c r="G254" i="1" s="1"/>
  <c r="I193" i="1"/>
  <c r="J193" i="1"/>
  <c r="K192" i="1" s="1"/>
  <c r="H194" i="1"/>
  <c r="I194" i="1"/>
  <c r="J194" i="1"/>
  <c r="K193" i="1" s="1"/>
  <c r="L193" i="1" s="1"/>
  <c r="H195" i="1"/>
  <c r="I195" i="1"/>
  <c r="J195" i="1"/>
  <c r="K194" i="1" s="1"/>
  <c r="H196" i="1"/>
  <c r="I196" i="1"/>
  <c r="J196" i="1"/>
  <c r="K195" i="1" s="1"/>
  <c r="H197" i="1"/>
  <c r="I197" i="1"/>
  <c r="J197" i="1"/>
  <c r="K196" i="1" s="1"/>
  <c r="H198" i="1"/>
  <c r="I198" i="1"/>
  <c r="J198" i="1"/>
  <c r="K197" i="1" s="1"/>
  <c r="L197" i="1" s="1"/>
  <c r="H199" i="1"/>
  <c r="I199" i="1"/>
  <c r="J199" i="1"/>
  <c r="K198" i="1" s="1"/>
  <c r="H200" i="1"/>
  <c r="I200" i="1"/>
  <c r="J200" i="1"/>
  <c r="K199" i="1" s="1"/>
  <c r="H201" i="1"/>
  <c r="I201" i="1"/>
  <c r="J201" i="1"/>
  <c r="K200" i="1" s="1"/>
  <c r="H202" i="1"/>
  <c r="I202" i="1"/>
  <c r="J202" i="1"/>
  <c r="K201" i="1" s="1"/>
  <c r="L201" i="1" s="1"/>
  <c r="H203" i="1"/>
  <c r="I203" i="1"/>
  <c r="J203" i="1"/>
  <c r="K202" i="1" s="1"/>
  <c r="H204" i="1"/>
  <c r="I204" i="1"/>
  <c r="J204" i="1"/>
  <c r="K203" i="1" s="1"/>
  <c r="H205" i="1"/>
  <c r="L205" i="1" s="1"/>
  <c r="I205" i="1"/>
  <c r="J205" i="1"/>
  <c r="K204" i="1" s="1"/>
  <c r="H206" i="1"/>
  <c r="I206" i="1"/>
  <c r="J206" i="1"/>
  <c r="K205" i="1" s="1"/>
  <c r="H207" i="1"/>
  <c r="I207" i="1"/>
  <c r="J207" i="1"/>
  <c r="K206" i="1" s="1"/>
  <c r="H208" i="1"/>
  <c r="I208" i="1"/>
  <c r="J208" i="1"/>
  <c r="K207" i="1" s="1"/>
  <c r="H209" i="1"/>
  <c r="I209" i="1"/>
  <c r="J209" i="1"/>
  <c r="K208" i="1" s="1"/>
  <c r="H210" i="1"/>
  <c r="I210" i="1"/>
  <c r="J210" i="1"/>
  <c r="K209" i="1" s="1"/>
  <c r="L209" i="1" s="1"/>
  <c r="H211" i="1"/>
  <c r="I211" i="1"/>
  <c r="J211" i="1"/>
  <c r="K210" i="1" s="1"/>
  <c r="H212" i="1"/>
  <c r="I212" i="1"/>
  <c r="J212" i="1"/>
  <c r="K211" i="1" s="1"/>
  <c r="H213" i="1"/>
  <c r="L213" i="1" s="1"/>
  <c r="I213" i="1"/>
  <c r="J213" i="1"/>
  <c r="K212" i="1" s="1"/>
  <c r="H214" i="1"/>
  <c r="I214" i="1"/>
  <c r="J214" i="1"/>
  <c r="K213" i="1" s="1"/>
  <c r="H215" i="1"/>
  <c r="I215" i="1"/>
  <c r="J215" i="1"/>
  <c r="K214" i="1" s="1"/>
  <c r="H216" i="1"/>
  <c r="I216" i="1"/>
  <c r="J216" i="1"/>
  <c r="K215" i="1" s="1"/>
  <c r="H217" i="1"/>
  <c r="L217" i="1" s="1"/>
  <c r="I217" i="1"/>
  <c r="J217" i="1"/>
  <c r="K216" i="1" s="1"/>
  <c r="H218" i="1"/>
  <c r="I218" i="1"/>
  <c r="J218" i="1"/>
  <c r="K217" i="1" s="1"/>
  <c r="H219" i="1"/>
  <c r="I219" i="1"/>
  <c r="J219" i="1"/>
  <c r="K218" i="1" s="1"/>
  <c r="H220" i="1"/>
  <c r="I220" i="1"/>
  <c r="J220" i="1"/>
  <c r="K219" i="1" s="1"/>
  <c r="H221" i="1"/>
  <c r="I221" i="1"/>
  <c r="J221" i="1"/>
  <c r="K220" i="1" s="1"/>
  <c r="H222" i="1"/>
  <c r="I222" i="1"/>
  <c r="J222" i="1"/>
  <c r="K221" i="1" s="1"/>
  <c r="L221" i="1" s="1"/>
  <c r="H223" i="1"/>
  <c r="I223" i="1"/>
  <c r="J223" i="1"/>
  <c r="K222" i="1" s="1"/>
  <c r="H224" i="1"/>
  <c r="I224" i="1"/>
  <c r="J224" i="1"/>
  <c r="K223" i="1" s="1"/>
  <c r="H225" i="1"/>
  <c r="L225" i="1" s="1"/>
  <c r="I225" i="1"/>
  <c r="J225" i="1"/>
  <c r="K224" i="1" s="1"/>
  <c r="H226" i="1"/>
  <c r="I226" i="1"/>
  <c r="J226" i="1"/>
  <c r="K225" i="1" s="1"/>
  <c r="H227" i="1"/>
  <c r="I227" i="1"/>
  <c r="J227" i="1"/>
  <c r="K226" i="1" s="1"/>
  <c r="H228" i="1"/>
  <c r="I228" i="1"/>
  <c r="J228" i="1"/>
  <c r="K227" i="1" s="1"/>
  <c r="H229" i="1"/>
  <c r="I229" i="1"/>
  <c r="J229" i="1"/>
  <c r="K228" i="1" s="1"/>
  <c r="H230" i="1"/>
  <c r="I230" i="1"/>
  <c r="J230" i="1"/>
  <c r="K229" i="1" s="1"/>
  <c r="L229" i="1" s="1"/>
  <c r="H231" i="1"/>
  <c r="I231" i="1"/>
  <c r="J231" i="1"/>
  <c r="K230" i="1" s="1"/>
  <c r="H232" i="1"/>
  <c r="I232" i="1"/>
  <c r="J232" i="1"/>
  <c r="K231" i="1" s="1"/>
  <c r="H233" i="1"/>
  <c r="L233" i="1" s="1"/>
  <c r="I233" i="1"/>
  <c r="J233" i="1"/>
  <c r="K232" i="1" s="1"/>
  <c r="H234" i="1"/>
  <c r="I234" i="1"/>
  <c r="J234" i="1"/>
  <c r="K233" i="1" s="1"/>
  <c r="H235" i="1"/>
  <c r="I235" i="1"/>
  <c r="J235" i="1"/>
  <c r="K234" i="1" s="1"/>
  <c r="H236" i="1"/>
  <c r="I236" i="1"/>
  <c r="J236" i="1"/>
  <c r="K235" i="1" s="1"/>
  <c r="H237" i="1"/>
  <c r="L237" i="1" s="1"/>
  <c r="I237" i="1"/>
  <c r="J237" i="1"/>
  <c r="K236" i="1" s="1"/>
  <c r="H238" i="1"/>
  <c r="I238" i="1"/>
  <c r="J238" i="1"/>
  <c r="K237" i="1" s="1"/>
  <c r="H239" i="1"/>
  <c r="I239" i="1"/>
  <c r="J239" i="1"/>
  <c r="K238" i="1" s="1"/>
  <c r="H240" i="1"/>
  <c r="I240" i="1"/>
  <c r="J240" i="1"/>
  <c r="K239" i="1" s="1"/>
  <c r="H241" i="1"/>
  <c r="L241" i="1" s="1"/>
  <c r="I241" i="1"/>
  <c r="J241" i="1"/>
  <c r="K240" i="1" s="1"/>
  <c r="H242" i="1"/>
  <c r="I242" i="1"/>
  <c r="J242" i="1"/>
  <c r="K241" i="1" s="1"/>
  <c r="H243" i="1"/>
  <c r="I243" i="1"/>
  <c r="J243" i="1"/>
  <c r="K242" i="1" s="1"/>
  <c r="H244" i="1"/>
  <c r="I244" i="1"/>
  <c r="J244" i="1"/>
  <c r="K243" i="1" s="1"/>
  <c r="H245" i="1"/>
  <c r="L245" i="1" s="1"/>
  <c r="I245" i="1"/>
  <c r="J245" i="1"/>
  <c r="K244" i="1" s="1"/>
  <c r="H246" i="1"/>
  <c r="I246" i="1"/>
  <c r="J246" i="1"/>
  <c r="K245" i="1" s="1"/>
  <c r="H247" i="1"/>
  <c r="I247" i="1"/>
  <c r="J247" i="1"/>
  <c r="K246" i="1" s="1"/>
  <c r="H248" i="1"/>
  <c r="I248" i="1"/>
  <c r="J248" i="1"/>
  <c r="K247" i="1" s="1"/>
  <c r="H249" i="1"/>
  <c r="I255" i="1" s="1"/>
  <c r="I249" i="1"/>
  <c r="J249" i="1"/>
  <c r="K248" i="1" s="1"/>
  <c r="H250" i="1"/>
  <c r="I250" i="1"/>
  <c r="L250" i="1" s="1"/>
  <c r="J250" i="1"/>
  <c r="K249" i="1" s="1"/>
  <c r="K250" i="1"/>
  <c r="E254" i="1"/>
  <c r="I254" i="1"/>
  <c r="E256" i="1"/>
  <c r="I256" i="1"/>
  <c r="B259" i="1"/>
  <c r="L246" i="1" l="1"/>
  <c r="L242" i="1"/>
  <c r="L238" i="1"/>
  <c r="L234" i="1"/>
  <c r="L230" i="1"/>
  <c r="L226" i="1"/>
  <c r="L222" i="1"/>
  <c r="L218" i="1"/>
  <c r="L214" i="1"/>
  <c r="L210" i="1"/>
  <c r="L206" i="1"/>
  <c r="L202" i="1"/>
  <c r="L198" i="1"/>
  <c r="L194" i="1"/>
  <c r="L248" i="1"/>
  <c r="L244" i="1"/>
  <c r="L240" i="1"/>
  <c r="L236" i="1"/>
  <c r="L232" i="1"/>
  <c r="L228" i="1"/>
  <c r="L224" i="1"/>
  <c r="L220" i="1"/>
  <c r="L216" i="1"/>
  <c r="L212" i="1"/>
  <c r="L208" i="1"/>
  <c r="L204" i="1"/>
  <c r="L200" i="1"/>
  <c r="L196" i="1"/>
  <c r="L192" i="1"/>
  <c r="L188" i="1"/>
  <c r="L184" i="1"/>
  <c r="L180" i="1"/>
  <c r="L176" i="1"/>
  <c r="L172" i="1"/>
  <c r="L186" i="1"/>
  <c r="L182" i="1"/>
  <c r="L178" i="1"/>
  <c r="L174" i="1"/>
  <c r="L190" i="1"/>
  <c r="L247" i="1"/>
  <c r="L243" i="1"/>
  <c r="L239" i="1"/>
  <c r="L235" i="1"/>
  <c r="L231" i="1"/>
  <c r="L227" i="1"/>
  <c r="L223" i="1"/>
  <c r="L219" i="1"/>
  <c r="L215" i="1"/>
  <c r="L211" i="1"/>
  <c r="L207" i="1"/>
  <c r="L203" i="1"/>
  <c r="L199" i="1"/>
  <c r="L195" i="1"/>
  <c r="L191" i="1"/>
  <c r="L187" i="1"/>
  <c r="L183" i="1"/>
  <c r="L179" i="1"/>
  <c r="L175" i="1"/>
  <c r="L171" i="1"/>
  <c r="L142" i="1"/>
  <c r="L134" i="1"/>
  <c r="L126" i="1"/>
  <c r="L118" i="1"/>
  <c r="L110" i="1"/>
  <c r="L102" i="1"/>
  <c r="L94" i="1"/>
  <c r="L86" i="1"/>
  <c r="L78" i="1"/>
  <c r="L70" i="1"/>
  <c r="L62" i="1"/>
  <c r="L61" i="1"/>
  <c r="L54" i="1"/>
  <c r="L53" i="1"/>
  <c r="L46" i="1"/>
  <c r="L45" i="1"/>
  <c r="L38" i="1"/>
  <c r="L37" i="1"/>
  <c r="L30" i="1"/>
  <c r="L29" i="1"/>
  <c r="L22" i="1"/>
  <c r="L21" i="1"/>
  <c r="L14" i="1"/>
  <c r="L13" i="1"/>
  <c r="L6" i="1"/>
  <c r="L5" i="1"/>
  <c r="G255" i="1"/>
  <c r="E255" i="1"/>
  <c r="L169" i="1"/>
  <c r="L166" i="1"/>
  <c r="L161" i="1"/>
  <c r="K160" i="1"/>
  <c r="L160" i="1" s="1"/>
  <c r="L157" i="1"/>
  <c r="K156" i="1"/>
  <c r="L156" i="1" s="1"/>
  <c r="L153" i="1"/>
  <c r="K152" i="1"/>
  <c r="L152" i="1" s="1"/>
  <c r="L149" i="1"/>
  <c r="K148" i="1"/>
  <c r="L148" i="1" s="1"/>
  <c r="L143" i="1"/>
  <c r="L135" i="1"/>
  <c r="L127" i="1"/>
  <c r="L119" i="1"/>
  <c r="L111" i="1"/>
  <c r="L103" i="1"/>
  <c r="L95" i="1"/>
  <c r="L87" i="1"/>
  <c r="L79" i="1"/>
  <c r="L71" i="1"/>
  <c r="L63" i="1"/>
  <c r="L55" i="1"/>
  <c r="L47" i="1"/>
  <c r="L39" i="1"/>
  <c r="L31" i="1"/>
  <c r="L23" i="1"/>
  <c r="L15" i="1"/>
  <c r="L7" i="1"/>
  <c r="L162" i="1"/>
  <c r="L158" i="1"/>
  <c r="L154" i="1"/>
  <c r="L150" i="1"/>
  <c r="L146" i="1"/>
  <c r="L138" i="1"/>
  <c r="L130" i="1"/>
  <c r="L122" i="1"/>
  <c r="L114" i="1"/>
  <c r="L106" i="1"/>
  <c r="L98" i="1"/>
  <c r="L90" i="1"/>
  <c r="L82" i="1"/>
  <c r="L74" i="1"/>
  <c r="L66" i="1"/>
  <c r="L58" i="1"/>
  <c r="L50" i="1"/>
  <c r="L42" i="1"/>
  <c r="L34" i="1"/>
  <c r="L26" i="1"/>
  <c r="L18" i="1"/>
  <c r="L10" i="1"/>
  <c r="L2" i="1"/>
  <c r="L249" i="1"/>
  <c r="L170" i="1"/>
  <c r="L139" i="1"/>
  <c r="L131" i="1"/>
  <c r="L123" i="1"/>
  <c r="L115" i="1"/>
  <c r="L107" i="1"/>
  <c r="L99" i="1"/>
  <c r="L91" i="1"/>
  <c r="L83" i="1"/>
  <c r="L75" i="1"/>
  <c r="L67" i="1"/>
  <c r="L59" i="1"/>
  <c r="L51" i="1"/>
  <c r="L43" i="1"/>
  <c r="L35" i="1"/>
  <c r="L27" i="1"/>
  <c r="L19" i="1"/>
  <c r="L11" i="1"/>
  <c r="L3" i="1"/>
  <c r="L145" i="1"/>
  <c r="L141" i="1"/>
  <c r="L137" i="1"/>
  <c r="L133" i="1"/>
  <c r="L129" i="1"/>
  <c r="L125" i="1"/>
  <c r="L121" i="1"/>
  <c r="L117" i="1"/>
  <c r="L113" i="1"/>
  <c r="L109" i="1"/>
  <c r="L105" i="1"/>
  <c r="L101" i="1"/>
  <c r="L97" i="1"/>
  <c r="L93" i="1"/>
  <c r="L89" i="1"/>
  <c r="L85" i="1"/>
  <c r="L81" i="1"/>
  <c r="L77" i="1"/>
  <c r="L73" i="1"/>
  <c r="L69" i="1"/>
</calcChain>
</file>

<file path=xl/sharedStrings.xml><?xml version="1.0" encoding="utf-8"?>
<sst xmlns="http://schemas.openxmlformats.org/spreadsheetml/2006/main" count="1030" uniqueCount="50">
  <si>
    <t>AVERAGE ORDER VALUE</t>
  </si>
  <si>
    <t>smb</t>
  </si>
  <si>
    <t>retail</t>
  </si>
  <si>
    <t>Sum of Revenue</t>
  </si>
  <si>
    <t>Average of Revenue</t>
  </si>
  <si>
    <t>corporate</t>
  </si>
  <si>
    <t>averageif</t>
  </si>
  <si>
    <t>average</t>
  </si>
  <si>
    <t>countif</t>
  </si>
  <si>
    <t>count</t>
  </si>
  <si>
    <t>sumif</t>
  </si>
  <si>
    <t>sum</t>
  </si>
  <si>
    <t>Count of Order_ID</t>
  </si>
  <si>
    <t>Max of Revenue2</t>
  </si>
  <si>
    <t>Min of Revenue2</t>
  </si>
  <si>
    <t>HASSAN</t>
  </si>
  <si>
    <t>scuba</t>
  </si>
  <si>
    <t>east</t>
  </si>
  <si>
    <t>NOAH</t>
  </si>
  <si>
    <t>TAUKIR</t>
  </si>
  <si>
    <t>skateboard</t>
  </si>
  <si>
    <t>north</t>
  </si>
  <si>
    <t>TREVOR</t>
  </si>
  <si>
    <t>west</t>
  </si>
  <si>
    <t>CRETA</t>
  </si>
  <si>
    <t>SHAKEEL</t>
  </si>
  <si>
    <t>helmet</t>
  </si>
  <si>
    <t>JOHN</t>
  </si>
  <si>
    <t>AUGUST</t>
  </si>
  <si>
    <t>JUMER</t>
  </si>
  <si>
    <t>bicycle</t>
  </si>
  <si>
    <t xml:space="preserve">south </t>
  </si>
  <si>
    <t>MAY</t>
  </si>
  <si>
    <t>JIMMY</t>
  </si>
  <si>
    <t>MARK</t>
  </si>
  <si>
    <t>GRETA</t>
  </si>
  <si>
    <t>RUBY</t>
  </si>
  <si>
    <t>;=</t>
  </si>
  <si>
    <t>Comission_Amount</t>
  </si>
  <si>
    <t>Comission</t>
  </si>
  <si>
    <t>Order_Category</t>
  </si>
  <si>
    <t>City</t>
  </si>
  <si>
    <t>Segment</t>
  </si>
  <si>
    <t>Sales_Rep</t>
  </si>
  <si>
    <t>Revenue</t>
  </si>
  <si>
    <t>Order_Date</t>
  </si>
  <si>
    <t>Product</t>
  </si>
  <si>
    <t>Region</t>
  </si>
  <si>
    <t>Customer_Name</t>
  </si>
  <si>
    <t>Order_ID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</si>
</sst>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4" tint="0.79998168889431442"/>
        <bgColor theme="4" tint="0.79998168889431442"/>
      </patternFill>
    </fill>
  </fills>
  <borders count="9">
    <border>
      <left/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theme="4" tint="0.3999755851924192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0" xfId="0" applyFont="1" applyFill="1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1" fillId="3" borderId="5" xfId="0" applyFont="1" applyFill="1" applyBorder="1"/>
    <xf numFmtId="0" fontId="1" fillId="0" borderId="6" xfId="0" applyFont="1" applyBorder="1"/>
    <xf numFmtId="0" fontId="1" fillId="0" borderId="7" xfId="0" applyFont="1" applyBorder="1"/>
    <xf numFmtId="1" fontId="0" fillId="0" borderId="0" xfId="0" applyNumberFormat="1"/>
    <xf numFmtId="2" fontId="0" fillId="0" borderId="0" xfId="0" applyNumberFormat="1"/>
    <xf numFmtId="0" fontId="1" fillId="0" borderId="8" xfId="0" applyFont="1" applyBorder="1"/>
    <xf numFmtId="0" fontId="1" fillId="0" borderId="1" xfId="0" applyFont="1" applyBorder="1"/>
    <xf numFmtId="0" fontId="1" fillId="0" borderId="2" xfId="0" applyFont="1" applyBorder="1"/>
  </cellXfs>
  <cellStyles count="1">
    <cellStyle name="Normal" xfId="0" builtinId="0"/>
  </cellStyles>
  <dxfs count="10">
    <dxf>
      <numFmt numFmtId="1" formatCode="0"/>
    </dxf>
    <dxf>
      <numFmt numFmtId="2" formatCode="0.00"/>
    </dxf>
    <dxf>
      <numFmt numFmtId="0" formatCode="General"/>
    </dxf>
    <dxf>
      <numFmt numFmtId="0" formatCode="General"/>
    </dxf>
    <dxf>
      <numFmt numFmtId="0" formatCode="General"/>
    </dxf>
    <dxf>
      <font>
        <b val="0"/>
      </font>
    </dxf>
    <dxf>
      <font>
        <b val="0"/>
      </font>
    </dxf>
    <dxf>
      <border outline="0">
        <bottom style="thin">
          <color indexed="64"/>
        </bottom>
      </border>
    </dxf>
    <dxf>
      <border outline="0">
        <top style="thin">
          <color indexed="64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7" Type="http://schemas.openxmlformats.org/officeDocument/2006/relationships/calcChain" Target="calcChain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ADMIN\OneDrive\Desktop\Orignal%20data..xlsx" TargetMode="External"/><Relationship Id="rId1" Type="http://schemas.openxmlformats.org/officeDocument/2006/relationships/externalLinkPath" Target="file:///C:\Users\ADMIN\OneDrive\Desktop\Orignal%20data.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CUSTOMER_DATA"/>
      <sheetName val="pivot"/>
      <sheetName val="Sheet4"/>
    </sheetNames>
    <sheetDataSet>
      <sheetData sheetId="0">
        <row r="1">
          <cell r="A1" t="str">
            <v>Customer_Name</v>
          </cell>
          <cell r="B1" t="str">
            <v>Segment</v>
          </cell>
          <cell r="C1" t="str">
            <v>City</v>
          </cell>
        </row>
        <row r="2">
          <cell r="A2" t="str">
            <v>JOHN</v>
          </cell>
          <cell r="B2" t="str">
            <v>Corporate</v>
          </cell>
          <cell r="C2" t="str">
            <v>Mumbai</v>
          </cell>
        </row>
        <row r="3">
          <cell r="A3" t="str">
            <v>MAY</v>
          </cell>
          <cell r="B3" t="str">
            <v>Retail</v>
          </cell>
          <cell r="C3" t="str">
            <v>Delhi</v>
          </cell>
        </row>
        <row r="4">
          <cell r="A4" t="str">
            <v>GRETA</v>
          </cell>
          <cell r="B4" t="str">
            <v>Corporate</v>
          </cell>
          <cell r="C4" t="str">
            <v>Bangalore</v>
          </cell>
        </row>
        <row r="5">
          <cell r="A5" t="str">
            <v>NOAH</v>
          </cell>
          <cell r="B5" t="str">
            <v>SMB</v>
          </cell>
          <cell r="C5" t="str">
            <v>Pune</v>
          </cell>
        </row>
        <row r="6">
          <cell r="A6" t="str">
            <v>RUBY</v>
          </cell>
          <cell r="B6" t="str">
            <v>Retail</v>
          </cell>
          <cell r="C6" t="str">
            <v>Hyderabad</v>
          </cell>
        </row>
        <row r="7">
          <cell r="A7" t="str">
            <v>AUGUST</v>
          </cell>
          <cell r="B7" t="str">
            <v>SMB</v>
          </cell>
          <cell r="C7" t="str">
            <v>Chennai</v>
          </cell>
        </row>
        <row r="8">
          <cell r="A8" t="str">
            <v>CRETA</v>
          </cell>
          <cell r="B8" t="str">
            <v>Corporate</v>
          </cell>
          <cell r="C8" t="str">
            <v>Ahmedabad</v>
          </cell>
        </row>
        <row r="9">
          <cell r="A9" t="str">
            <v>TREVOR</v>
          </cell>
          <cell r="B9" t="str">
            <v>Retail</v>
          </cell>
          <cell r="C9" t="str">
            <v>Kolkata</v>
          </cell>
        </row>
        <row r="10">
          <cell r="A10" t="str">
            <v>MARK</v>
          </cell>
          <cell r="B10" t="str">
            <v>SMB</v>
          </cell>
          <cell r="C10" t="str">
            <v>Jaipur</v>
          </cell>
        </row>
        <row r="11">
          <cell r="A11" t="str">
            <v>JIMMY</v>
          </cell>
          <cell r="B11" t="str">
            <v>Corporate</v>
          </cell>
          <cell r="C11" t="str">
            <v>Surat</v>
          </cell>
        </row>
        <row r="12">
          <cell r="A12" t="str">
            <v>RUBY</v>
          </cell>
          <cell r="B12" t="str">
            <v>Retail</v>
          </cell>
          <cell r="C12" t="str">
            <v>Lucknow</v>
          </cell>
        </row>
      </sheetData>
      <sheetData sheetId="1"/>
      <sheetData sheetId="2"/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ADMIN\OneDrive\Desktop\Orignal%20data..xlsx" TargetMode="External"/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DMIN" refreshedDate="46073.999265162034" createdVersion="8" refreshedVersion="8" minRefreshableVersion="3" recordCount="249" xr:uid="{5AD35A0D-417D-4F8E-B165-7F9FEB952996}">
  <cacheSource type="worksheet">
    <worksheetSource name="Table2" r:id="rId2"/>
  </cacheSource>
  <cacheFields count="9">
    <cacheField name="Order_ID" numFmtId="0">
      <sharedItems containsMixedTypes="1" containsNumber="1" containsInteger="1" minValue="101" maxValue="349"/>
    </cacheField>
    <cacheField name="Customer_Name" numFmtId="0">
      <sharedItems count="10">
        <s v="JOHN"/>
        <s v="MAY"/>
        <s v="AUGUST"/>
        <s v="CRETA"/>
        <s v="TREVOR"/>
        <s v="NOAH"/>
        <s v="RUBY"/>
        <s v="GRETA"/>
        <s v="MARK"/>
        <s v="JIMMY"/>
      </sharedItems>
    </cacheField>
    <cacheField name="Region" numFmtId="0">
      <sharedItems count="4">
        <s v="north"/>
        <s v="south "/>
        <s v="east"/>
        <s v="west"/>
      </sharedItems>
    </cacheField>
    <cacheField name="Product" numFmtId="0">
      <sharedItems/>
    </cacheField>
    <cacheField name="Order_Date" numFmtId="0">
      <sharedItems containsSemiMixedTypes="0" containsString="0" containsNumber="1" containsInteger="1" minValue="43958" maxValue="46110"/>
    </cacheField>
    <cacheField name="Revenue" numFmtId="0">
      <sharedItems containsSemiMixedTypes="0" containsString="0" containsNumber="1" containsInteger="1" minValue="10699" maxValue="20000"/>
    </cacheField>
    <cacheField name="Sales_Rep" numFmtId="0">
      <sharedItems/>
    </cacheField>
    <cacheField name="Segment" numFmtId="0">
      <sharedItems count="3">
        <s v="Corporate"/>
        <s v="Retail"/>
        <s v="SMB"/>
      </sharedItems>
    </cacheField>
    <cacheField name="City" numFmtId="0">
      <sharedItems count="10">
        <s v="Mumbai"/>
        <s v="Delhi"/>
        <s v="Chennai"/>
        <s v="Ahmedabad"/>
        <s v="Kolkata"/>
        <s v="Pune"/>
        <s v="Hyderabad"/>
        <s v="Bangalore"/>
        <s v="Jaipur"/>
        <s v="Surat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49">
  <r>
    <n v="101"/>
    <x v="0"/>
    <x v="0"/>
    <s v="skateboard"/>
    <n v="45967"/>
    <n v="11012"/>
    <s v="HASSAN"/>
    <x v="0"/>
    <x v="0"/>
  </r>
  <r>
    <n v="102"/>
    <x v="1"/>
    <x v="1"/>
    <s v="bicycle"/>
    <n v="45486"/>
    <n v="12378"/>
    <s v="JUMER"/>
    <x v="1"/>
    <x v="1"/>
  </r>
  <r>
    <n v="103"/>
    <x v="2"/>
    <x v="2"/>
    <s v="scuba"/>
    <n v="45024"/>
    <n v="14439"/>
    <s v="TAUKIR"/>
    <x v="2"/>
    <x v="2"/>
  </r>
  <r>
    <n v="104"/>
    <x v="0"/>
    <x v="3"/>
    <s v="helmet"/>
    <n v="44357"/>
    <n v="20000"/>
    <s v="SHAKEEL"/>
    <x v="0"/>
    <x v="0"/>
  </r>
  <r>
    <n v="105"/>
    <x v="3"/>
    <x v="3"/>
    <s v="skateboard"/>
    <n v="43958"/>
    <n v="19524"/>
    <s v="HASSAN"/>
    <x v="0"/>
    <x v="3"/>
  </r>
  <r>
    <n v="106"/>
    <x v="4"/>
    <x v="0"/>
    <s v="skateboard"/>
    <n v="45546"/>
    <n v="15459"/>
    <s v="TAUKIR"/>
    <x v="1"/>
    <x v="4"/>
  </r>
  <r>
    <n v="107"/>
    <x v="5"/>
    <x v="2"/>
    <s v="scuba"/>
    <n v="44035"/>
    <n v="15496"/>
    <s v="JUMER"/>
    <x v="2"/>
    <x v="5"/>
  </r>
  <r>
    <n v="108"/>
    <x v="0"/>
    <x v="1"/>
    <s v="bicycle"/>
    <n v="45410"/>
    <n v="17064"/>
    <s v="SHAKEEL"/>
    <x v="0"/>
    <x v="0"/>
  </r>
  <r>
    <n v="109"/>
    <x v="6"/>
    <x v="3"/>
    <s v="bicycle"/>
    <n v="44926"/>
    <n v="12546"/>
    <s v="TAUKIR"/>
    <x v="1"/>
    <x v="6"/>
  </r>
  <r>
    <n v="110"/>
    <x v="7"/>
    <x v="3"/>
    <s v="skateboard"/>
    <n v="44686"/>
    <n v="12480"/>
    <s v="SHAKEEL"/>
    <x v="0"/>
    <x v="7"/>
  </r>
  <r>
    <n v="111"/>
    <x v="1"/>
    <x v="2"/>
    <s v="helmet"/>
    <n v="44641"/>
    <n v="10699"/>
    <s v="JUMER"/>
    <x v="1"/>
    <x v="1"/>
  </r>
  <r>
    <n v="112"/>
    <x v="0"/>
    <x v="0"/>
    <s v="helmet"/>
    <n v="45504"/>
    <n v="10960"/>
    <s v="SHAKEEL"/>
    <x v="0"/>
    <x v="0"/>
  </r>
  <r>
    <n v="113"/>
    <x v="8"/>
    <x v="3"/>
    <s v="scuba"/>
    <n v="44483"/>
    <n v="20000"/>
    <s v="TAUKIR"/>
    <x v="2"/>
    <x v="8"/>
  </r>
  <r>
    <n v="114"/>
    <x v="1"/>
    <x v="2"/>
    <s v="bicycle"/>
    <n v="44333"/>
    <n v="11654"/>
    <s v="TAUKIR"/>
    <x v="1"/>
    <x v="1"/>
  </r>
  <r>
    <n v="115"/>
    <x v="1"/>
    <x v="1"/>
    <s v="scuba"/>
    <n v="44955"/>
    <n v="13498"/>
    <s v="TAUKIR"/>
    <x v="1"/>
    <x v="1"/>
  </r>
  <r>
    <n v="116"/>
    <x v="0"/>
    <x v="0"/>
    <s v="scuba"/>
    <n v="46110"/>
    <n v="18665"/>
    <s v="TAUKIR"/>
    <x v="0"/>
    <x v="0"/>
  </r>
  <r>
    <n v="117"/>
    <x v="9"/>
    <x v="1"/>
    <s v="scuba"/>
    <n v="45925"/>
    <n v="20000"/>
    <s v="HASSAN"/>
    <x v="0"/>
    <x v="9"/>
  </r>
  <r>
    <n v="118"/>
    <x v="0"/>
    <x v="1"/>
    <s v="scuba"/>
    <n v="44504"/>
    <n v="15341"/>
    <s v="HASSAN"/>
    <x v="0"/>
    <x v="0"/>
  </r>
  <r>
    <n v="119"/>
    <x v="0"/>
    <x v="0"/>
    <s v="skateboard"/>
    <n v="45967"/>
    <n v="11012"/>
    <s v="HASSAN"/>
    <x v="0"/>
    <x v="0"/>
  </r>
  <r>
    <n v="120"/>
    <x v="1"/>
    <x v="1"/>
    <s v="bicycle"/>
    <n v="45486"/>
    <n v="12378"/>
    <s v="JUMER"/>
    <x v="1"/>
    <x v="1"/>
  </r>
  <r>
    <n v="121"/>
    <x v="2"/>
    <x v="2"/>
    <s v="scuba"/>
    <n v="45024"/>
    <n v="14439"/>
    <s v="TAUKIR"/>
    <x v="2"/>
    <x v="2"/>
  </r>
  <r>
    <n v="122"/>
    <x v="0"/>
    <x v="3"/>
    <s v="helmet"/>
    <n v="44357"/>
    <n v="20000"/>
    <s v="SHAKEEL"/>
    <x v="0"/>
    <x v="0"/>
  </r>
  <r>
    <n v="123"/>
    <x v="3"/>
    <x v="3"/>
    <s v="skateboard"/>
    <n v="43958"/>
    <n v="19524"/>
    <s v="HASSAN"/>
    <x v="0"/>
    <x v="3"/>
  </r>
  <r>
    <n v="124"/>
    <x v="4"/>
    <x v="0"/>
    <s v="skateboard"/>
    <n v="45546"/>
    <n v="15459"/>
    <s v="TAUKIR"/>
    <x v="1"/>
    <x v="4"/>
  </r>
  <r>
    <n v="125"/>
    <x v="5"/>
    <x v="2"/>
    <s v="scuba"/>
    <n v="44035"/>
    <n v="15496"/>
    <s v="JUMER"/>
    <x v="2"/>
    <x v="5"/>
  </r>
  <r>
    <n v="126"/>
    <x v="0"/>
    <x v="1"/>
    <s v="bicycle"/>
    <n v="45410"/>
    <n v="17064"/>
    <s v="SHAKEEL"/>
    <x v="0"/>
    <x v="0"/>
  </r>
  <r>
    <n v="127"/>
    <x v="6"/>
    <x v="3"/>
    <s v="bicycle"/>
    <n v="44926"/>
    <n v="12546"/>
    <s v="TAUKIR"/>
    <x v="1"/>
    <x v="6"/>
  </r>
  <r>
    <n v="128"/>
    <x v="7"/>
    <x v="3"/>
    <s v="skateboard"/>
    <n v="44686"/>
    <n v="12480"/>
    <s v="SHAKEEL"/>
    <x v="0"/>
    <x v="7"/>
  </r>
  <r>
    <n v="129"/>
    <x v="1"/>
    <x v="2"/>
    <s v="helmet"/>
    <n v="44641"/>
    <n v="10699"/>
    <s v="JUMER"/>
    <x v="1"/>
    <x v="1"/>
  </r>
  <r>
    <n v="130"/>
    <x v="0"/>
    <x v="0"/>
    <s v="helmet"/>
    <n v="45504"/>
    <n v="10960"/>
    <s v="SHAKEEL"/>
    <x v="0"/>
    <x v="0"/>
  </r>
  <r>
    <n v="131"/>
    <x v="8"/>
    <x v="3"/>
    <s v="scuba"/>
    <n v="44483"/>
    <n v="20000"/>
    <s v="TAUKIR"/>
    <x v="2"/>
    <x v="8"/>
  </r>
  <r>
    <n v="132"/>
    <x v="1"/>
    <x v="2"/>
    <s v="bicycle"/>
    <n v="44333"/>
    <n v="11654"/>
    <s v="TAUKIR"/>
    <x v="1"/>
    <x v="1"/>
  </r>
  <r>
    <n v="133"/>
    <x v="1"/>
    <x v="1"/>
    <s v="scuba"/>
    <n v="44955"/>
    <n v="13498"/>
    <s v="TAUKIR"/>
    <x v="1"/>
    <x v="1"/>
  </r>
  <r>
    <n v="134"/>
    <x v="0"/>
    <x v="0"/>
    <s v="scuba"/>
    <n v="46110"/>
    <n v="18665"/>
    <s v="TAUKIR"/>
    <x v="0"/>
    <x v="0"/>
  </r>
  <r>
    <n v="135"/>
    <x v="9"/>
    <x v="1"/>
    <s v="scuba"/>
    <n v="45925"/>
    <n v="20000"/>
    <s v="HASSAN"/>
    <x v="0"/>
    <x v="9"/>
  </r>
  <r>
    <n v="136"/>
    <x v="0"/>
    <x v="1"/>
    <s v="scuba"/>
    <n v="44504"/>
    <n v="15341"/>
    <s v="HASSAN"/>
    <x v="0"/>
    <x v="0"/>
  </r>
  <r>
    <n v="137"/>
    <x v="0"/>
    <x v="0"/>
    <s v="skateboard"/>
    <n v="45967"/>
    <n v="11012"/>
    <s v="HASSAN"/>
    <x v="0"/>
    <x v="0"/>
  </r>
  <r>
    <n v="138"/>
    <x v="1"/>
    <x v="1"/>
    <s v="bicycle"/>
    <n v="45486"/>
    <n v="12378"/>
    <s v="JUMER"/>
    <x v="1"/>
    <x v="1"/>
  </r>
  <r>
    <n v="139"/>
    <x v="2"/>
    <x v="2"/>
    <s v="scuba"/>
    <n v="45024"/>
    <n v="14439"/>
    <s v="TAUKIR"/>
    <x v="2"/>
    <x v="2"/>
  </r>
  <r>
    <n v="140"/>
    <x v="0"/>
    <x v="3"/>
    <s v="helmet"/>
    <n v="44357"/>
    <n v="20000"/>
    <s v="SHAKEEL"/>
    <x v="0"/>
    <x v="0"/>
  </r>
  <r>
    <n v="141"/>
    <x v="3"/>
    <x v="3"/>
    <s v="skateboard"/>
    <n v="43958"/>
    <n v="19524"/>
    <s v="HASSAN"/>
    <x v="0"/>
    <x v="3"/>
  </r>
  <r>
    <n v="142"/>
    <x v="4"/>
    <x v="0"/>
    <s v="skateboard"/>
    <n v="45546"/>
    <n v="15459"/>
    <s v="TAUKIR"/>
    <x v="1"/>
    <x v="4"/>
  </r>
  <r>
    <n v="143"/>
    <x v="5"/>
    <x v="2"/>
    <s v="scuba"/>
    <n v="44035"/>
    <n v="15496"/>
    <s v="JUMER"/>
    <x v="2"/>
    <x v="5"/>
  </r>
  <r>
    <n v="144"/>
    <x v="0"/>
    <x v="1"/>
    <s v="bicycle"/>
    <n v="45410"/>
    <n v="17064"/>
    <s v="SHAKEEL"/>
    <x v="0"/>
    <x v="0"/>
  </r>
  <r>
    <n v="145"/>
    <x v="6"/>
    <x v="3"/>
    <s v="bicycle"/>
    <n v="44926"/>
    <n v="12546"/>
    <s v="TAUKIR"/>
    <x v="1"/>
    <x v="6"/>
  </r>
  <r>
    <n v="146"/>
    <x v="7"/>
    <x v="3"/>
    <s v="skateboard"/>
    <n v="44686"/>
    <n v="12480"/>
    <s v="SHAKEEL"/>
    <x v="0"/>
    <x v="7"/>
  </r>
  <r>
    <n v="147"/>
    <x v="1"/>
    <x v="2"/>
    <s v="helmet"/>
    <n v="44641"/>
    <n v="10699"/>
    <s v="JUMER"/>
    <x v="1"/>
    <x v="1"/>
  </r>
  <r>
    <n v="148"/>
    <x v="0"/>
    <x v="0"/>
    <s v="helmet"/>
    <n v="45504"/>
    <n v="10960"/>
    <s v="SHAKEEL"/>
    <x v="0"/>
    <x v="0"/>
  </r>
  <r>
    <n v="149"/>
    <x v="8"/>
    <x v="3"/>
    <s v="scuba"/>
    <n v="44483"/>
    <n v="20000"/>
    <s v="TAUKIR"/>
    <x v="2"/>
    <x v="8"/>
  </r>
  <r>
    <n v="150"/>
    <x v="1"/>
    <x v="2"/>
    <s v="bicycle"/>
    <n v="44333"/>
    <n v="11654"/>
    <s v="TAUKIR"/>
    <x v="1"/>
    <x v="1"/>
  </r>
  <r>
    <n v="151"/>
    <x v="1"/>
    <x v="1"/>
    <s v="scuba"/>
    <n v="44955"/>
    <n v="13498"/>
    <s v="TAUKIR"/>
    <x v="1"/>
    <x v="1"/>
  </r>
  <r>
    <n v="152"/>
    <x v="0"/>
    <x v="0"/>
    <s v="scuba"/>
    <n v="46110"/>
    <n v="18665"/>
    <s v="TAUKIR"/>
    <x v="0"/>
    <x v="0"/>
  </r>
  <r>
    <n v="153"/>
    <x v="9"/>
    <x v="1"/>
    <s v="scuba"/>
    <n v="45925"/>
    <n v="20000"/>
    <s v="HASSAN"/>
    <x v="0"/>
    <x v="9"/>
  </r>
  <r>
    <n v="154"/>
    <x v="0"/>
    <x v="1"/>
    <s v="scuba"/>
    <n v="44504"/>
    <n v="15341"/>
    <s v="HASSAN"/>
    <x v="0"/>
    <x v="0"/>
  </r>
  <r>
    <n v="155"/>
    <x v="0"/>
    <x v="0"/>
    <s v="skateboard"/>
    <n v="45967"/>
    <n v="11012"/>
    <s v="HASSAN"/>
    <x v="0"/>
    <x v="0"/>
  </r>
  <r>
    <n v="156"/>
    <x v="1"/>
    <x v="1"/>
    <s v="bicycle"/>
    <n v="45486"/>
    <n v="12378"/>
    <s v="JUMER"/>
    <x v="1"/>
    <x v="1"/>
  </r>
  <r>
    <n v="157"/>
    <x v="2"/>
    <x v="2"/>
    <s v="scuba"/>
    <n v="45024"/>
    <n v="14439"/>
    <s v="TAUKIR"/>
    <x v="2"/>
    <x v="2"/>
  </r>
  <r>
    <n v="158"/>
    <x v="0"/>
    <x v="3"/>
    <s v="helmet"/>
    <n v="44357"/>
    <n v="20000"/>
    <s v="SHAKEEL"/>
    <x v="0"/>
    <x v="0"/>
  </r>
  <r>
    <n v="159"/>
    <x v="3"/>
    <x v="3"/>
    <s v="skateboard"/>
    <n v="43958"/>
    <n v="19524"/>
    <s v="HASSAN"/>
    <x v="0"/>
    <x v="3"/>
  </r>
  <r>
    <n v="160"/>
    <x v="4"/>
    <x v="0"/>
    <s v="skateboard"/>
    <n v="45546"/>
    <n v="15459"/>
    <s v="TAUKIR"/>
    <x v="1"/>
    <x v="4"/>
  </r>
  <r>
    <n v="161"/>
    <x v="5"/>
    <x v="2"/>
    <s v="scuba"/>
    <n v="44035"/>
    <n v="15496"/>
    <s v="JUMER"/>
    <x v="2"/>
    <x v="5"/>
  </r>
  <r>
    <n v="162"/>
    <x v="0"/>
    <x v="1"/>
    <s v="bicycle"/>
    <n v="45410"/>
    <n v="17064"/>
    <s v="SHAKEEL"/>
    <x v="0"/>
    <x v="0"/>
  </r>
  <r>
    <n v="163"/>
    <x v="6"/>
    <x v="3"/>
    <s v="bicycle"/>
    <n v="44926"/>
    <n v="12546"/>
    <s v="TAUKIR"/>
    <x v="1"/>
    <x v="6"/>
  </r>
  <r>
    <n v="164"/>
    <x v="7"/>
    <x v="3"/>
    <s v="skateboard"/>
    <n v="44686"/>
    <n v="12480"/>
    <s v="SHAKEEL"/>
    <x v="0"/>
    <x v="7"/>
  </r>
  <r>
    <n v="165"/>
    <x v="1"/>
    <x v="2"/>
    <s v="helmet"/>
    <n v="44641"/>
    <n v="10699"/>
    <s v="JUMER"/>
    <x v="1"/>
    <x v="1"/>
  </r>
  <r>
    <n v="166"/>
    <x v="0"/>
    <x v="0"/>
    <s v="helmet"/>
    <n v="45504"/>
    <n v="10960"/>
    <s v="SHAKEEL"/>
    <x v="0"/>
    <x v="0"/>
  </r>
  <r>
    <n v="167"/>
    <x v="8"/>
    <x v="3"/>
    <s v="scuba"/>
    <n v="44483"/>
    <n v="20000"/>
    <s v="TAUKIR"/>
    <x v="2"/>
    <x v="8"/>
  </r>
  <r>
    <n v="168"/>
    <x v="1"/>
    <x v="2"/>
    <s v="bicycle"/>
    <n v="44333"/>
    <n v="11654"/>
    <s v="TAUKIR"/>
    <x v="1"/>
    <x v="1"/>
  </r>
  <r>
    <n v="169"/>
    <x v="1"/>
    <x v="1"/>
    <s v="scuba"/>
    <n v="44955"/>
    <n v="13498"/>
    <s v="TAUKIR"/>
    <x v="1"/>
    <x v="1"/>
  </r>
  <r>
    <n v="170"/>
    <x v="0"/>
    <x v="0"/>
    <s v="scuba"/>
    <n v="46110"/>
    <n v="18665"/>
    <s v="TAUKIR"/>
    <x v="0"/>
    <x v="0"/>
  </r>
  <r>
    <n v="171"/>
    <x v="9"/>
    <x v="1"/>
    <s v="scuba"/>
    <n v="45925"/>
    <n v="20000"/>
    <s v="HASSAN"/>
    <x v="0"/>
    <x v="9"/>
  </r>
  <r>
    <n v="172"/>
    <x v="0"/>
    <x v="1"/>
    <s v="scuba"/>
    <n v="44504"/>
    <n v="15341"/>
    <s v="HASSAN"/>
    <x v="0"/>
    <x v="0"/>
  </r>
  <r>
    <n v="173"/>
    <x v="0"/>
    <x v="0"/>
    <s v="skateboard"/>
    <n v="45967"/>
    <n v="11012"/>
    <s v="HASSAN"/>
    <x v="0"/>
    <x v="0"/>
  </r>
  <r>
    <n v="174"/>
    <x v="1"/>
    <x v="1"/>
    <s v="bicycle"/>
    <n v="45486"/>
    <n v="12378"/>
    <s v="JUMER"/>
    <x v="1"/>
    <x v="1"/>
  </r>
  <r>
    <n v="175"/>
    <x v="2"/>
    <x v="2"/>
    <s v="scuba"/>
    <n v="45024"/>
    <n v="14439"/>
    <s v="TAUKIR"/>
    <x v="2"/>
    <x v="2"/>
  </r>
  <r>
    <n v="176"/>
    <x v="0"/>
    <x v="3"/>
    <s v="helmet"/>
    <n v="44357"/>
    <n v="20000"/>
    <s v="SHAKEEL"/>
    <x v="0"/>
    <x v="0"/>
  </r>
  <r>
    <n v="177"/>
    <x v="3"/>
    <x v="3"/>
    <s v="skateboard"/>
    <n v="43958"/>
    <n v="19524"/>
    <s v="HASSAN"/>
    <x v="0"/>
    <x v="3"/>
  </r>
  <r>
    <n v="178"/>
    <x v="4"/>
    <x v="0"/>
    <s v="skateboard"/>
    <n v="45546"/>
    <n v="15459"/>
    <s v="TAUKIR"/>
    <x v="1"/>
    <x v="4"/>
  </r>
  <r>
    <n v="179"/>
    <x v="5"/>
    <x v="2"/>
    <s v="scuba"/>
    <n v="44035"/>
    <n v="15496"/>
    <s v="JUMER"/>
    <x v="2"/>
    <x v="5"/>
  </r>
  <r>
    <n v="180"/>
    <x v="0"/>
    <x v="1"/>
    <s v="bicycle"/>
    <n v="45410"/>
    <n v="17064"/>
    <s v="SHAKEEL"/>
    <x v="0"/>
    <x v="0"/>
  </r>
  <r>
    <n v="181"/>
    <x v="6"/>
    <x v="3"/>
    <s v="bicycle"/>
    <n v="44926"/>
    <n v="12546"/>
    <s v="TAUKIR"/>
    <x v="1"/>
    <x v="6"/>
  </r>
  <r>
    <n v="182"/>
    <x v="7"/>
    <x v="3"/>
    <s v="skateboard"/>
    <n v="44686"/>
    <n v="12480"/>
    <s v="SHAKEEL"/>
    <x v="0"/>
    <x v="7"/>
  </r>
  <r>
    <n v="183"/>
    <x v="1"/>
    <x v="2"/>
    <s v="helmet"/>
    <n v="44641"/>
    <n v="10699"/>
    <s v="JUMER"/>
    <x v="1"/>
    <x v="1"/>
  </r>
  <r>
    <n v="184"/>
    <x v="0"/>
    <x v="0"/>
    <s v="helmet"/>
    <n v="45504"/>
    <n v="10960"/>
    <s v="SHAKEEL"/>
    <x v="0"/>
    <x v="0"/>
  </r>
  <r>
    <n v="185"/>
    <x v="8"/>
    <x v="3"/>
    <s v="scuba"/>
    <n v="44483"/>
    <n v="20000"/>
    <s v="TAUKIR"/>
    <x v="2"/>
    <x v="8"/>
  </r>
  <r>
    <s v=";="/>
    <x v="1"/>
    <x v="2"/>
    <s v="bicycle"/>
    <n v="44333"/>
    <n v="11654"/>
    <s v="TAUKIR"/>
    <x v="1"/>
    <x v="1"/>
  </r>
  <r>
    <n v="187"/>
    <x v="1"/>
    <x v="1"/>
    <s v="scuba"/>
    <n v="44955"/>
    <n v="13498"/>
    <s v="TAUKIR"/>
    <x v="1"/>
    <x v="1"/>
  </r>
  <r>
    <n v="188"/>
    <x v="0"/>
    <x v="0"/>
    <s v="scuba"/>
    <n v="46110"/>
    <n v="18665"/>
    <s v="TAUKIR"/>
    <x v="0"/>
    <x v="0"/>
  </r>
  <r>
    <n v="189"/>
    <x v="9"/>
    <x v="1"/>
    <s v="scuba"/>
    <n v="45925"/>
    <n v="20000"/>
    <s v="HASSAN"/>
    <x v="0"/>
    <x v="9"/>
  </r>
  <r>
    <n v="190"/>
    <x v="0"/>
    <x v="1"/>
    <s v="scuba"/>
    <n v="44504"/>
    <n v="15341"/>
    <s v="HASSAN"/>
    <x v="0"/>
    <x v="0"/>
  </r>
  <r>
    <n v="191"/>
    <x v="2"/>
    <x v="2"/>
    <s v="scuba"/>
    <n v="45024"/>
    <n v="14439"/>
    <s v="TAUKIR"/>
    <x v="2"/>
    <x v="2"/>
  </r>
  <r>
    <n v="192"/>
    <x v="0"/>
    <x v="3"/>
    <s v="helmet"/>
    <n v="44357"/>
    <n v="20000"/>
    <s v="SHAKEEL"/>
    <x v="0"/>
    <x v="0"/>
  </r>
  <r>
    <n v="193"/>
    <x v="3"/>
    <x v="3"/>
    <s v="skateboard"/>
    <n v="43958"/>
    <n v="19524"/>
    <s v="HASSAN"/>
    <x v="0"/>
    <x v="3"/>
  </r>
  <r>
    <n v="194"/>
    <x v="4"/>
    <x v="0"/>
    <s v="skateboard"/>
    <n v="45546"/>
    <n v="15459"/>
    <s v="TAUKIR"/>
    <x v="1"/>
    <x v="4"/>
  </r>
  <r>
    <n v="195"/>
    <x v="5"/>
    <x v="2"/>
    <s v="scuba"/>
    <n v="44035"/>
    <n v="15496"/>
    <s v="JUMER"/>
    <x v="2"/>
    <x v="5"/>
  </r>
  <r>
    <n v="196"/>
    <x v="0"/>
    <x v="1"/>
    <s v="bicycle"/>
    <n v="45410"/>
    <n v="17064"/>
    <s v="SHAKEEL"/>
    <x v="0"/>
    <x v="0"/>
  </r>
  <r>
    <n v="197"/>
    <x v="6"/>
    <x v="3"/>
    <s v="bicycle"/>
    <n v="44926"/>
    <n v="12546"/>
    <s v="TAUKIR"/>
    <x v="1"/>
    <x v="6"/>
  </r>
  <r>
    <n v="198"/>
    <x v="7"/>
    <x v="3"/>
    <s v="skateboard"/>
    <n v="44686"/>
    <n v="12480"/>
    <s v="SHAKEEL"/>
    <x v="0"/>
    <x v="7"/>
  </r>
  <r>
    <n v="199"/>
    <x v="1"/>
    <x v="2"/>
    <s v="helmet"/>
    <n v="44641"/>
    <n v="10699"/>
    <s v="JUMER"/>
    <x v="1"/>
    <x v="1"/>
  </r>
  <r>
    <n v="200"/>
    <x v="0"/>
    <x v="0"/>
    <s v="helmet"/>
    <n v="45504"/>
    <n v="10960"/>
    <s v="SHAKEEL"/>
    <x v="0"/>
    <x v="0"/>
  </r>
  <r>
    <n v="201"/>
    <x v="8"/>
    <x v="3"/>
    <s v="scuba"/>
    <n v="44483"/>
    <n v="20000"/>
    <s v="TAUKIR"/>
    <x v="2"/>
    <x v="8"/>
  </r>
  <r>
    <n v="202"/>
    <x v="1"/>
    <x v="2"/>
    <s v="bicycle"/>
    <n v="44333"/>
    <n v="11654"/>
    <s v="TAUKIR"/>
    <x v="1"/>
    <x v="1"/>
  </r>
  <r>
    <n v="203"/>
    <x v="1"/>
    <x v="1"/>
    <s v="scuba"/>
    <n v="44955"/>
    <n v="13498"/>
    <s v="TAUKIR"/>
    <x v="1"/>
    <x v="1"/>
  </r>
  <r>
    <n v="204"/>
    <x v="0"/>
    <x v="0"/>
    <s v="scuba"/>
    <n v="46110"/>
    <n v="18665"/>
    <s v="TAUKIR"/>
    <x v="0"/>
    <x v="0"/>
  </r>
  <r>
    <n v="205"/>
    <x v="9"/>
    <x v="1"/>
    <s v="scuba"/>
    <n v="45925"/>
    <n v="20000"/>
    <s v="HASSAN"/>
    <x v="0"/>
    <x v="9"/>
  </r>
  <r>
    <n v="206"/>
    <x v="0"/>
    <x v="1"/>
    <s v="scuba"/>
    <n v="44504"/>
    <n v="15341"/>
    <s v="HASSAN"/>
    <x v="0"/>
    <x v="0"/>
  </r>
  <r>
    <n v="207"/>
    <x v="0"/>
    <x v="0"/>
    <s v="skateboard"/>
    <n v="45967"/>
    <n v="11012"/>
    <s v="HASSAN"/>
    <x v="0"/>
    <x v="0"/>
  </r>
  <r>
    <n v="208"/>
    <x v="1"/>
    <x v="1"/>
    <s v="bicycle"/>
    <n v="45486"/>
    <n v="12378"/>
    <s v="JUMER"/>
    <x v="1"/>
    <x v="1"/>
  </r>
  <r>
    <n v="209"/>
    <x v="2"/>
    <x v="2"/>
    <s v="scuba"/>
    <n v="45024"/>
    <n v="14439"/>
    <s v="TAUKIR"/>
    <x v="2"/>
    <x v="2"/>
  </r>
  <r>
    <n v="210"/>
    <x v="0"/>
    <x v="3"/>
    <s v="helmet"/>
    <n v="44357"/>
    <n v="20000"/>
    <s v="SHAKEEL"/>
    <x v="0"/>
    <x v="0"/>
  </r>
  <r>
    <n v="211"/>
    <x v="3"/>
    <x v="3"/>
    <s v="skateboard"/>
    <n v="43958"/>
    <n v="19524"/>
    <s v="HASSAN"/>
    <x v="0"/>
    <x v="3"/>
  </r>
  <r>
    <n v="212"/>
    <x v="4"/>
    <x v="0"/>
    <s v="skateboard"/>
    <n v="45546"/>
    <n v="15459"/>
    <s v="TAUKIR"/>
    <x v="1"/>
    <x v="4"/>
  </r>
  <r>
    <n v="213"/>
    <x v="5"/>
    <x v="2"/>
    <s v="scuba"/>
    <n v="44035"/>
    <n v="15496"/>
    <s v="JUMER"/>
    <x v="2"/>
    <x v="5"/>
  </r>
  <r>
    <n v="214"/>
    <x v="0"/>
    <x v="1"/>
    <s v="bicycle"/>
    <n v="45410"/>
    <n v="17064"/>
    <s v="SHAKEEL"/>
    <x v="0"/>
    <x v="0"/>
  </r>
  <r>
    <n v="215"/>
    <x v="6"/>
    <x v="3"/>
    <s v="bicycle"/>
    <n v="44926"/>
    <n v="12546"/>
    <s v="TAUKIR"/>
    <x v="1"/>
    <x v="6"/>
  </r>
  <r>
    <n v="216"/>
    <x v="7"/>
    <x v="3"/>
    <s v="skateboard"/>
    <n v="44686"/>
    <n v="12480"/>
    <s v="SHAKEEL"/>
    <x v="0"/>
    <x v="7"/>
  </r>
  <r>
    <n v="217"/>
    <x v="1"/>
    <x v="2"/>
    <s v="helmet"/>
    <n v="44641"/>
    <n v="10699"/>
    <s v="JUMER"/>
    <x v="1"/>
    <x v="1"/>
  </r>
  <r>
    <n v="218"/>
    <x v="0"/>
    <x v="0"/>
    <s v="helmet"/>
    <n v="45504"/>
    <n v="10960"/>
    <s v="SHAKEEL"/>
    <x v="0"/>
    <x v="0"/>
  </r>
  <r>
    <n v="219"/>
    <x v="8"/>
    <x v="3"/>
    <s v="scuba"/>
    <n v="44483"/>
    <n v="20000"/>
    <s v="TAUKIR"/>
    <x v="2"/>
    <x v="8"/>
  </r>
  <r>
    <n v="220"/>
    <x v="1"/>
    <x v="2"/>
    <s v="bicycle"/>
    <n v="44333"/>
    <n v="11654"/>
    <s v="TAUKIR"/>
    <x v="1"/>
    <x v="1"/>
  </r>
  <r>
    <n v="221"/>
    <x v="1"/>
    <x v="1"/>
    <s v="scuba"/>
    <n v="44955"/>
    <n v="13498"/>
    <s v="TAUKIR"/>
    <x v="1"/>
    <x v="1"/>
  </r>
  <r>
    <n v="222"/>
    <x v="0"/>
    <x v="0"/>
    <s v="scuba"/>
    <n v="46110"/>
    <n v="18665"/>
    <s v="TAUKIR"/>
    <x v="0"/>
    <x v="0"/>
  </r>
  <r>
    <n v="223"/>
    <x v="9"/>
    <x v="1"/>
    <s v="scuba"/>
    <n v="45925"/>
    <n v="20000"/>
    <s v="HASSAN"/>
    <x v="0"/>
    <x v="9"/>
  </r>
  <r>
    <n v="224"/>
    <x v="0"/>
    <x v="1"/>
    <s v="scuba"/>
    <n v="44504"/>
    <n v="15341"/>
    <s v="HASSAN"/>
    <x v="0"/>
    <x v="0"/>
  </r>
  <r>
    <n v="225"/>
    <x v="2"/>
    <x v="2"/>
    <s v="scuba"/>
    <n v="45024"/>
    <n v="14439"/>
    <s v="TAUKIR"/>
    <x v="2"/>
    <x v="2"/>
  </r>
  <r>
    <n v="226"/>
    <x v="0"/>
    <x v="3"/>
    <s v="helmet"/>
    <n v="44357"/>
    <n v="20000"/>
    <s v="SHAKEEL"/>
    <x v="0"/>
    <x v="0"/>
  </r>
  <r>
    <n v="227"/>
    <x v="3"/>
    <x v="3"/>
    <s v="skateboard"/>
    <n v="43958"/>
    <n v="19524"/>
    <s v="HASSAN"/>
    <x v="0"/>
    <x v="3"/>
  </r>
  <r>
    <n v="228"/>
    <x v="4"/>
    <x v="0"/>
    <s v="skateboard"/>
    <n v="45546"/>
    <n v="15459"/>
    <s v="TAUKIR"/>
    <x v="1"/>
    <x v="4"/>
  </r>
  <r>
    <n v="229"/>
    <x v="5"/>
    <x v="2"/>
    <s v="scuba"/>
    <n v="44035"/>
    <n v="15496"/>
    <s v="JUMER"/>
    <x v="2"/>
    <x v="5"/>
  </r>
  <r>
    <n v="230"/>
    <x v="0"/>
    <x v="1"/>
    <s v="bicycle"/>
    <n v="45410"/>
    <n v="17064"/>
    <s v="SHAKEEL"/>
    <x v="0"/>
    <x v="0"/>
  </r>
  <r>
    <n v="231"/>
    <x v="6"/>
    <x v="3"/>
    <s v="bicycle"/>
    <n v="44926"/>
    <n v="12546"/>
    <s v="TAUKIR"/>
    <x v="1"/>
    <x v="6"/>
  </r>
  <r>
    <n v="232"/>
    <x v="7"/>
    <x v="3"/>
    <s v="skateboard"/>
    <n v="44686"/>
    <n v="12480"/>
    <s v="SHAKEEL"/>
    <x v="0"/>
    <x v="7"/>
  </r>
  <r>
    <n v="233"/>
    <x v="1"/>
    <x v="2"/>
    <s v="helmet"/>
    <n v="44641"/>
    <n v="10699"/>
    <s v="JUMER"/>
    <x v="1"/>
    <x v="1"/>
  </r>
  <r>
    <n v="234"/>
    <x v="0"/>
    <x v="0"/>
    <s v="helmet"/>
    <n v="45504"/>
    <n v="10960"/>
    <s v="SHAKEEL"/>
    <x v="0"/>
    <x v="0"/>
  </r>
  <r>
    <n v="235"/>
    <x v="8"/>
    <x v="3"/>
    <s v="scuba"/>
    <n v="44483"/>
    <n v="20000"/>
    <s v="TAUKIR"/>
    <x v="2"/>
    <x v="8"/>
  </r>
  <r>
    <n v="236"/>
    <x v="1"/>
    <x v="2"/>
    <s v="bicycle"/>
    <n v="44333"/>
    <n v="11654"/>
    <s v="TAUKIR"/>
    <x v="1"/>
    <x v="1"/>
  </r>
  <r>
    <n v="237"/>
    <x v="1"/>
    <x v="1"/>
    <s v="scuba"/>
    <n v="44955"/>
    <n v="13498"/>
    <s v="TAUKIR"/>
    <x v="1"/>
    <x v="1"/>
  </r>
  <r>
    <n v="238"/>
    <x v="0"/>
    <x v="0"/>
    <s v="scuba"/>
    <n v="46110"/>
    <n v="18665"/>
    <s v="TAUKIR"/>
    <x v="0"/>
    <x v="0"/>
  </r>
  <r>
    <n v="239"/>
    <x v="9"/>
    <x v="1"/>
    <s v="scuba"/>
    <n v="45925"/>
    <n v="20000"/>
    <s v="HASSAN"/>
    <x v="0"/>
    <x v="9"/>
  </r>
  <r>
    <n v="240"/>
    <x v="0"/>
    <x v="1"/>
    <s v="scuba"/>
    <n v="44504"/>
    <n v="15341"/>
    <s v="HASSAN"/>
    <x v="0"/>
    <x v="0"/>
  </r>
  <r>
    <n v="241"/>
    <x v="0"/>
    <x v="0"/>
    <s v="skateboard"/>
    <n v="45967"/>
    <n v="11012"/>
    <s v="HASSAN"/>
    <x v="0"/>
    <x v="0"/>
  </r>
  <r>
    <n v="242"/>
    <x v="1"/>
    <x v="1"/>
    <s v="bicycle"/>
    <n v="45486"/>
    <n v="12378"/>
    <s v="JUMER"/>
    <x v="1"/>
    <x v="1"/>
  </r>
  <r>
    <n v="243"/>
    <x v="2"/>
    <x v="2"/>
    <s v="scuba"/>
    <n v="45024"/>
    <n v="14439"/>
    <s v="TAUKIR"/>
    <x v="2"/>
    <x v="2"/>
  </r>
  <r>
    <n v="244"/>
    <x v="0"/>
    <x v="3"/>
    <s v="helmet"/>
    <n v="44357"/>
    <n v="20000"/>
    <s v="SHAKEEL"/>
    <x v="0"/>
    <x v="0"/>
  </r>
  <r>
    <n v="245"/>
    <x v="3"/>
    <x v="3"/>
    <s v="skateboard"/>
    <n v="43958"/>
    <n v="19524"/>
    <s v="HASSAN"/>
    <x v="0"/>
    <x v="3"/>
  </r>
  <r>
    <n v="246"/>
    <x v="4"/>
    <x v="0"/>
    <s v="skateboard"/>
    <n v="45546"/>
    <n v="15459"/>
    <s v="TAUKIR"/>
    <x v="1"/>
    <x v="4"/>
  </r>
  <r>
    <n v="247"/>
    <x v="5"/>
    <x v="2"/>
    <s v="scuba"/>
    <n v="44035"/>
    <n v="15496"/>
    <s v="JUMER"/>
    <x v="2"/>
    <x v="5"/>
  </r>
  <r>
    <n v="248"/>
    <x v="0"/>
    <x v="1"/>
    <s v="bicycle"/>
    <n v="45410"/>
    <n v="17064"/>
    <s v="SHAKEEL"/>
    <x v="0"/>
    <x v="0"/>
  </r>
  <r>
    <n v="249"/>
    <x v="6"/>
    <x v="3"/>
    <s v="bicycle"/>
    <n v="44926"/>
    <n v="12546"/>
    <s v="TAUKIR"/>
    <x v="1"/>
    <x v="6"/>
  </r>
  <r>
    <n v="250"/>
    <x v="7"/>
    <x v="3"/>
    <s v="skateboard"/>
    <n v="44686"/>
    <n v="12480"/>
    <s v="SHAKEEL"/>
    <x v="0"/>
    <x v="7"/>
  </r>
  <r>
    <n v="251"/>
    <x v="1"/>
    <x v="2"/>
    <s v="helmet"/>
    <n v="44641"/>
    <n v="10699"/>
    <s v="JUMER"/>
    <x v="1"/>
    <x v="1"/>
  </r>
  <r>
    <n v="252"/>
    <x v="0"/>
    <x v="0"/>
    <s v="helmet"/>
    <n v="45504"/>
    <n v="10960"/>
    <s v="SHAKEEL"/>
    <x v="0"/>
    <x v="0"/>
  </r>
  <r>
    <n v="253"/>
    <x v="8"/>
    <x v="3"/>
    <s v="scuba"/>
    <n v="44483"/>
    <n v="20000"/>
    <s v="TAUKIR"/>
    <x v="2"/>
    <x v="8"/>
  </r>
  <r>
    <n v="254"/>
    <x v="1"/>
    <x v="2"/>
    <s v="bicycle"/>
    <n v="44333"/>
    <n v="11654"/>
    <s v="TAUKIR"/>
    <x v="1"/>
    <x v="1"/>
  </r>
  <r>
    <n v="255"/>
    <x v="1"/>
    <x v="1"/>
    <s v="scuba"/>
    <n v="44955"/>
    <n v="13498"/>
    <s v="TAUKIR"/>
    <x v="1"/>
    <x v="1"/>
  </r>
  <r>
    <n v="256"/>
    <x v="0"/>
    <x v="0"/>
    <s v="scuba"/>
    <n v="46110"/>
    <n v="18665"/>
    <s v="TAUKIR"/>
    <x v="0"/>
    <x v="0"/>
  </r>
  <r>
    <n v="257"/>
    <x v="9"/>
    <x v="1"/>
    <s v="scuba"/>
    <n v="45925"/>
    <n v="20000"/>
    <s v="HASSAN"/>
    <x v="0"/>
    <x v="9"/>
  </r>
  <r>
    <n v="258"/>
    <x v="0"/>
    <x v="1"/>
    <s v="scuba"/>
    <n v="44504"/>
    <n v="15341"/>
    <s v="HASSAN"/>
    <x v="0"/>
    <x v="0"/>
  </r>
  <r>
    <n v="259"/>
    <x v="2"/>
    <x v="2"/>
    <s v="scuba"/>
    <n v="45024"/>
    <n v="14439"/>
    <s v="TAUKIR"/>
    <x v="2"/>
    <x v="2"/>
  </r>
  <r>
    <n v="260"/>
    <x v="0"/>
    <x v="3"/>
    <s v="helmet"/>
    <n v="44357"/>
    <n v="20000"/>
    <s v="SHAKEEL"/>
    <x v="0"/>
    <x v="0"/>
  </r>
  <r>
    <n v="261"/>
    <x v="3"/>
    <x v="3"/>
    <s v="skateboard"/>
    <n v="43958"/>
    <n v="19524"/>
    <s v="HASSAN"/>
    <x v="0"/>
    <x v="3"/>
  </r>
  <r>
    <n v="262"/>
    <x v="4"/>
    <x v="0"/>
    <s v="skateboard"/>
    <n v="45546"/>
    <n v="15459"/>
    <s v="TAUKIR"/>
    <x v="1"/>
    <x v="4"/>
  </r>
  <r>
    <n v="263"/>
    <x v="5"/>
    <x v="2"/>
    <s v="scuba"/>
    <n v="44035"/>
    <n v="15496"/>
    <s v="JUMER"/>
    <x v="2"/>
    <x v="5"/>
  </r>
  <r>
    <n v="264"/>
    <x v="0"/>
    <x v="1"/>
    <s v="bicycle"/>
    <n v="45410"/>
    <n v="17064"/>
    <s v="SHAKEEL"/>
    <x v="0"/>
    <x v="0"/>
  </r>
  <r>
    <n v="265"/>
    <x v="6"/>
    <x v="3"/>
    <s v="bicycle"/>
    <n v="44926"/>
    <n v="12546"/>
    <s v="TAUKIR"/>
    <x v="1"/>
    <x v="6"/>
  </r>
  <r>
    <n v="266"/>
    <x v="7"/>
    <x v="3"/>
    <s v="skateboard"/>
    <n v="44686"/>
    <n v="12480"/>
    <s v="SHAKEEL"/>
    <x v="0"/>
    <x v="7"/>
  </r>
  <r>
    <n v="267"/>
    <x v="1"/>
    <x v="2"/>
    <s v="helmet"/>
    <n v="44641"/>
    <n v="10699"/>
    <s v="JUMER"/>
    <x v="1"/>
    <x v="1"/>
  </r>
  <r>
    <n v="268"/>
    <x v="0"/>
    <x v="0"/>
    <s v="helmet"/>
    <n v="45504"/>
    <n v="10960"/>
    <s v="SHAKEEL"/>
    <x v="0"/>
    <x v="0"/>
  </r>
  <r>
    <n v="269"/>
    <x v="8"/>
    <x v="3"/>
    <s v="scuba"/>
    <n v="44483"/>
    <n v="20000"/>
    <s v="TAUKIR"/>
    <x v="2"/>
    <x v="8"/>
  </r>
  <r>
    <n v="270"/>
    <x v="1"/>
    <x v="2"/>
    <s v="bicycle"/>
    <n v="44333"/>
    <n v="11654"/>
    <s v="TAUKIR"/>
    <x v="1"/>
    <x v="1"/>
  </r>
  <r>
    <n v="271"/>
    <x v="1"/>
    <x v="1"/>
    <s v="scuba"/>
    <n v="44955"/>
    <n v="13498"/>
    <s v="TAUKIR"/>
    <x v="1"/>
    <x v="1"/>
  </r>
  <r>
    <n v="272"/>
    <x v="0"/>
    <x v="0"/>
    <s v="scuba"/>
    <n v="46110"/>
    <n v="18665"/>
    <s v="TAUKIR"/>
    <x v="0"/>
    <x v="0"/>
  </r>
  <r>
    <n v="273"/>
    <x v="9"/>
    <x v="1"/>
    <s v="scuba"/>
    <n v="45925"/>
    <n v="20000"/>
    <s v="HASSAN"/>
    <x v="0"/>
    <x v="9"/>
  </r>
  <r>
    <n v="274"/>
    <x v="0"/>
    <x v="1"/>
    <s v="scuba"/>
    <n v="44504"/>
    <n v="15341"/>
    <s v="HASSAN"/>
    <x v="0"/>
    <x v="0"/>
  </r>
  <r>
    <n v="275"/>
    <x v="0"/>
    <x v="0"/>
    <s v="skateboard"/>
    <n v="45967"/>
    <n v="11012"/>
    <s v="HASSAN"/>
    <x v="0"/>
    <x v="0"/>
  </r>
  <r>
    <n v="276"/>
    <x v="1"/>
    <x v="1"/>
    <s v="bicycle"/>
    <n v="45486"/>
    <n v="12378"/>
    <s v="JUMER"/>
    <x v="1"/>
    <x v="1"/>
  </r>
  <r>
    <n v="277"/>
    <x v="2"/>
    <x v="2"/>
    <s v="scuba"/>
    <n v="45024"/>
    <n v="14439"/>
    <s v="TAUKIR"/>
    <x v="2"/>
    <x v="2"/>
  </r>
  <r>
    <n v="278"/>
    <x v="0"/>
    <x v="3"/>
    <s v="helmet"/>
    <n v="44357"/>
    <n v="20000"/>
    <s v="SHAKEEL"/>
    <x v="0"/>
    <x v="0"/>
  </r>
  <r>
    <n v="279"/>
    <x v="3"/>
    <x v="3"/>
    <s v="skateboard"/>
    <n v="43958"/>
    <n v="19524"/>
    <s v="HASSAN"/>
    <x v="0"/>
    <x v="3"/>
  </r>
  <r>
    <n v="280"/>
    <x v="4"/>
    <x v="0"/>
    <s v="skateboard"/>
    <n v="45546"/>
    <n v="15459"/>
    <s v="TAUKIR"/>
    <x v="1"/>
    <x v="4"/>
  </r>
  <r>
    <n v="281"/>
    <x v="5"/>
    <x v="2"/>
    <s v="scuba"/>
    <n v="44035"/>
    <n v="15496"/>
    <s v="JUMER"/>
    <x v="2"/>
    <x v="5"/>
  </r>
  <r>
    <n v="282"/>
    <x v="0"/>
    <x v="1"/>
    <s v="bicycle"/>
    <n v="45410"/>
    <n v="17064"/>
    <s v="SHAKEEL"/>
    <x v="0"/>
    <x v="0"/>
  </r>
  <r>
    <n v="283"/>
    <x v="6"/>
    <x v="3"/>
    <s v="bicycle"/>
    <n v="44926"/>
    <n v="12546"/>
    <s v="TAUKIR"/>
    <x v="1"/>
    <x v="6"/>
  </r>
  <r>
    <n v="284"/>
    <x v="7"/>
    <x v="3"/>
    <s v="skateboard"/>
    <n v="44686"/>
    <n v="12480"/>
    <s v="SHAKEEL"/>
    <x v="0"/>
    <x v="7"/>
  </r>
  <r>
    <n v="285"/>
    <x v="1"/>
    <x v="2"/>
    <s v="helmet"/>
    <n v="44641"/>
    <n v="10699"/>
    <s v="JUMER"/>
    <x v="1"/>
    <x v="1"/>
  </r>
  <r>
    <n v="286"/>
    <x v="0"/>
    <x v="0"/>
    <s v="helmet"/>
    <n v="45504"/>
    <n v="10960"/>
    <s v="SHAKEEL"/>
    <x v="0"/>
    <x v="0"/>
  </r>
  <r>
    <n v="287"/>
    <x v="8"/>
    <x v="3"/>
    <s v="scuba"/>
    <n v="44483"/>
    <n v="20000"/>
    <s v="TAUKIR"/>
    <x v="2"/>
    <x v="8"/>
  </r>
  <r>
    <n v="288"/>
    <x v="1"/>
    <x v="2"/>
    <s v="bicycle"/>
    <n v="44333"/>
    <n v="11654"/>
    <s v="TAUKIR"/>
    <x v="1"/>
    <x v="1"/>
  </r>
  <r>
    <n v="289"/>
    <x v="1"/>
    <x v="1"/>
    <s v="scuba"/>
    <n v="44955"/>
    <n v="13498"/>
    <s v="TAUKIR"/>
    <x v="1"/>
    <x v="1"/>
  </r>
  <r>
    <n v="290"/>
    <x v="0"/>
    <x v="0"/>
    <s v="scuba"/>
    <n v="46110"/>
    <n v="18665"/>
    <s v="TAUKIR"/>
    <x v="0"/>
    <x v="0"/>
  </r>
  <r>
    <n v="291"/>
    <x v="9"/>
    <x v="1"/>
    <s v="scuba"/>
    <n v="45925"/>
    <n v="20000"/>
    <s v="HASSAN"/>
    <x v="0"/>
    <x v="9"/>
  </r>
  <r>
    <n v="292"/>
    <x v="0"/>
    <x v="1"/>
    <s v="scuba"/>
    <n v="44504"/>
    <n v="15341"/>
    <s v="HASSAN"/>
    <x v="0"/>
    <x v="0"/>
  </r>
  <r>
    <n v="293"/>
    <x v="2"/>
    <x v="2"/>
    <s v="scuba"/>
    <n v="45024"/>
    <n v="14439"/>
    <s v="TAUKIR"/>
    <x v="2"/>
    <x v="2"/>
  </r>
  <r>
    <n v="294"/>
    <x v="0"/>
    <x v="3"/>
    <s v="helmet"/>
    <n v="44357"/>
    <n v="20000"/>
    <s v="SHAKEEL"/>
    <x v="0"/>
    <x v="0"/>
  </r>
  <r>
    <n v="295"/>
    <x v="3"/>
    <x v="3"/>
    <s v="skateboard"/>
    <n v="43958"/>
    <n v="19524"/>
    <s v="HASSAN"/>
    <x v="0"/>
    <x v="3"/>
  </r>
  <r>
    <n v="296"/>
    <x v="4"/>
    <x v="0"/>
    <s v="skateboard"/>
    <n v="45546"/>
    <n v="15459"/>
    <s v="TAUKIR"/>
    <x v="1"/>
    <x v="4"/>
  </r>
  <r>
    <n v="297"/>
    <x v="5"/>
    <x v="2"/>
    <s v="scuba"/>
    <n v="44035"/>
    <n v="15496"/>
    <s v="JUMER"/>
    <x v="2"/>
    <x v="5"/>
  </r>
  <r>
    <n v="298"/>
    <x v="0"/>
    <x v="1"/>
    <s v="bicycle"/>
    <n v="45410"/>
    <n v="17064"/>
    <s v="SHAKEEL"/>
    <x v="0"/>
    <x v="0"/>
  </r>
  <r>
    <n v="299"/>
    <x v="6"/>
    <x v="3"/>
    <s v="bicycle"/>
    <n v="44926"/>
    <n v="12546"/>
    <s v="TAUKIR"/>
    <x v="1"/>
    <x v="6"/>
  </r>
  <r>
    <n v="300"/>
    <x v="7"/>
    <x v="3"/>
    <s v="skateboard"/>
    <n v="44686"/>
    <n v="12480"/>
    <s v="SHAKEEL"/>
    <x v="0"/>
    <x v="7"/>
  </r>
  <r>
    <n v="301"/>
    <x v="1"/>
    <x v="2"/>
    <s v="helmet"/>
    <n v="44641"/>
    <n v="10699"/>
    <s v="JUMER"/>
    <x v="1"/>
    <x v="1"/>
  </r>
  <r>
    <n v="302"/>
    <x v="0"/>
    <x v="0"/>
    <s v="helmet"/>
    <n v="45504"/>
    <n v="10960"/>
    <s v="SHAKEEL"/>
    <x v="0"/>
    <x v="0"/>
  </r>
  <r>
    <n v="303"/>
    <x v="8"/>
    <x v="3"/>
    <s v="scuba"/>
    <n v="44483"/>
    <n v="20000"/>
    <s v="TAUKIR"/>
    <x v="2"/>
    <x v="8"/>
  </r>
  <r>
    <n v="304"/>
    <x v="1"/>
    <x v="2"/>
    <s v="bicycle"/>
    <n v="44333"/>
    <n v="11654"/>
    <s v="TAUKIR"/>
    <x v="1"/>
    <x v="1"/>
  </r>
  <r>
    <n v="305"/>
    <x v="1"/>
    <x v="1"/>
    <s v="scuba"/>
    <n v="44955"/>
    <n v="13498"/>
    <s v="TAUKIR"/>
    <x v="1"/>
    <x v="1"/>
  </r>
  <r>
    <n v="306"/>
    <x v="0"/>
    <x v="0"/>
    <s v="scuba"/>
    <n v="46110"/>
    <n v="18665"/>
    <s v="TAUKIR"/>
    <x v="0"/>
    <x v="0"/>
  </r>
  <r>
    <n v="307"/>
    <x v="9"/>
    <x v="1"/>
    <s v="scuba"/>
    <n v="45925"/>
    <n v="20000"/>
    <s v="HASSAN"/>
    <x v="0"/>
    <x v="9"/>
  </r>
  <r>
    <n v="308"/>
    <x v="0"/>
    <x v="1"/>
    <s v="scuba"/>
    <n v="44504"/>
    <n v="15341"/>
    <s v="HASSAN"/>
    <x v="0"/>
    <x v="0"/>
  </r>
  <r>
    <n v="309"/>
    <x v="0"/>
    <x v="0"/>
    <s v="skateboard"/>
    <n v="45967"/>
    <n v="11012"/>
    <s v="HASSAN"/>
    <x v="0"/>
    <x v="0"/>
  </r>
  <r>
    <n v="310"/>
    <x v="1"/>
    <x v="1"/>
    <s v="bicycle"/>
    <n v="45486"/>
    <n v="12378"/>
    <s v="JUMER"/>
    <x v="1"/>
    <x v="1"/>
  </r>
  <r>
    <n v="311"/>
    <x v="2"/>
    <x v="2"/>
    <s v="scuba"/>
    <n v="45024"/>
    <n v="14439"/>
    <s v="TAUKIR"/>
    <x v="2"/>
    <x v="2"/>
  </r>
  <r>
    <n v="312"/>
    <x v="0"/>
    <x v="3"/>
    <s v="helmet"/>
    <n v="44357"/>
    <n v="20000"/>
    <s v="SHAKEEL"/>
    <x v="0"/>
    <x v="0"/>
  </r>
  <r>
    <n v="313"/>
    <x v="3"/>
    <x v="3"/>
    <s v="skateboard"/>
    <n v="43958"/>
    <n v="19524"/>
    <s v="HASSAN"/>
    <x v="0"/>
    <x v="3"/>
  </r>
  <r>
    <n v="314"/>
    <x v="4"/>
    <x v="0"/>
    <s v="skateboard"/>
    <n v="45546"/>
    <n v="15459"/>
    <s v="TAUKIR"/>
    <x v="1"/>
    <x v="4"/>
  </r>
  <r>
    <n v="315"/>
    <x v="5"/>
    <x v="2"/>
    <s v="scuba"/>
    <n v="44035"/>
    <n v="15496"/>
    <s v="JUMER"/>
    <x v="2"/>
    <x v="5"/>
  </r>
  <r>
    <n v="316"/>
    <x v="0"/>
    <x v="1"/>
    <s v="bicycle"/>
    <n v="45410"/>
    <n v="17064"/>
    <s v="SHAKEEL"/>
    <x v="0"/>
    <x v="0"/>
  </r>
  <r>
    <n v="317"/>
    <x v="6"/>
    <x v="3"/>
    <s v="bicycle"/>
    <n v="44926"/>
    <n v="12546"/>
    <s v="TAUKIR"/>
    <x v="1"/>
    <x v="6"/>
  </r>
  <r>
    <n v="318"/>
    <x v="7"/>
    <x v="3"/>
    <s v="skateboard"/>
    <n v="44686"/>
    <n v="12480"/>
    <s v="SHAKEEL"/>
    <x v="0"/>
    <x v="7"/>
  </r>
  <r>
    <n v="319"/>
    <x v="1"/>
    <x v="2"/>
    <s v="helmet"/>
    <n v="44641"/>
    <n v="10699"/>
    <s v="JUMER"/>
    <x v="1"/>
    <x v="1"/>
  </r>
  <r>
    <n v="320"/>
    <x v="0"/>
    <x v="0"/>
    <s v="helmet"/>
    <n v="45504"/>
    <n v="10960"/>
    <s v="SHAKEEL"/>
    <x v="0"/>
    <x v="0"/>
  </r>
  <r>
    <n v="321"/>
    <x v="8"/>
    <x v="3"/>
    <s v="scuba"/>
    <n v="44483"/>
    <n v="20000"/>
    <s v="TAUKIR"/>
    <x v="2"/>
    <x v="8"/>
  </r>
  <r>
    <n v="322"/>
    <x v="1"/>
    <x v="2"/>
    <s v="bicycle"/>
    <n v="44333"/>
    <n v="11654"/>
    <s v="TAUKIR"/>
    <x v="1"/>
    <x v="1"/>
  </r>
  <r>
    <n v="323"/>
    <x v="1"/>
    <x v="1"/>
    <s v="scuba"/>
    <n v="44955"/>
    <n v="13498"/>
    <s v="TAUKIR"/>
    <x v="1"/>
    <x v="1"/>
  </r>
  <r>
    <n v="324"/>
    <x v="0"/>
    <x v="0"/>
    <s v="scuba"/>
    <n v="46110"/>
    <n v="18665"/>
    <s v="TAUKIR"/>
    <x v="0"/>
    <x v="0"/>
  </r>
  <r>
    <n v="325"/>
    <x v="9"/>
    <x v="1"/>
    <s v="scuba"/>
    <n v="45925"/>
    <n v="20000"/>
    <s v="HASSAN"/>
    <x v="0"/>
    <x v="9"/>
  </r>
  <r>
    <n v="326"/>
    <x v="0"/>
    <x v="1"/>
    <s v="scuba"/>
    <n v="44504"/>
    <n v="15341"/>
    <s v="HASSAN"/>
    <x v="0"/>
    <x v="0"/>
  </r>
  <r>
    <n v="327"/>
    <x v="2"/>
    <x v="2"/>
    <s v="scuba"/>
    <n v="45024"/>
    <n v="14439"/>
    <s v="TAUKIR"/>
    <x v="2"/>
    <x v="2"/>
  </r>
  <r>
    <n v="328"/>
    <x v="0"/>
    <x v="3"/>
    <s v="helmet"/>
    <n v="44357"/>
    <n v="20000"/>
    <s v="SHAKEEL"/>
    <x v="0"/>
    <x v="0"/>
  </r>
  <r>
    <n v="329"/>
    <x v="3"/>
    <x v="3"/>
    <s v="skateboard"/>
    <n v="43958"/>
    <n v="19524"/>
    <s v="HASSAN"/>
    <x v="0"/>
    <x v="3"/>
  </r>
  <r>
    <n v="330"/>
    <x v="4"/>
    <x v="0"/>
    <s v="skateboard"/>
    <n v="45546"/>
    <n v="15459"/>
    <s v="TAUKIR"/>
    <x v="1"/>
    <x v="4"/>
  </r>
  <r>
    <n v="331"/>
    <x v="5"/>
    <x v="2"/>
    <s v="scuba"/>
    <n v="44035"/>
    <n v="15496"/>
    <s v="JUMER"/>
    <x v="2"/>
    <x v="5"/>
  </r>
  <r>
    <n v="332"/>
    <x v="0"/>
    <x v="1"/>
    <s v="bicycle"/>
    <n v="45410"/>
    <n v="17064"/>
    <s v="SHAKEEL"/>
    <x v="0"/>
    <x v="0"/>
  </r>
  <r>
    <n v="333"/>
    <x v="6"/>
    <x v="3"/>
    <s v="bicycle"/>
    <n v="44926"/>
    <n v="12546"/>
    <s v="TAUKIR"/>
    <x v="1"/>
    <x v="6"/>
  </r>
  <r>
    <n v="334"/>
    <x v="7"/>
    <x v="3"/>
    <s v="skateboard"/>
    <n v="44686"/>
    <n v="12480"/>
    <s v="SHAKEEL"/>
    <x v="0"/>
    <x v="7"/>
  </r>
  <r>
    <n v="335"/>
    <x v="1"/>
    <x v="2"/>
    <s v="helmet"/>
    <n v="44641"/>
    <n v="10699"/>
    <s v="JUMER"/>
    <x v="1"/>
    <x v="1"/>
  </r>
  <r>
    <n v="336"/>
    <x v="0"/>
    <x v="0"/>
    <s v="helmet"/>
    <n v="45504"/>
    <n v="10960"/>
    <s v="SHAKEEL"/>
    <x v="0"/>
    <x v="0"/>
  </r>
  <r>
    <n v="337"/>
    <x v="8"/>
    <x v="3"/>
    <s v="scuba"/>
    <n v="44483"/>
    <n v="20000"/>
    <s v="TAUKIR"/>
    <x v="2"/>
    <x v="8"/>
  </r>
  <r>
    <n v="338"/>
    <x v="1"/>
    <x v="2"/>
    <s v="bicycle"/>
    <n v="44333"/>
    <n v="11654"/>
    <s v="TAUKIR"/>
    <x v="1"/>
    <x v="1"/>
  </r>
  <r>
    <n v="339"/>
    <x v="1"/>
    <x v="1"/>
    <s v="scuba"/>
    <n v="44955"/>
    <n v="13498"/>
    <s v="TAUKIR"/>
    <x v="1"/>
    <x v="1"/>
  </r>
  <r>
    <n v="340"/>
    <x v="0"/>
    <x v="0"/>
    <s v="scuba"/>
    <n v="46110"/>
    <n v="18665"/>
    <s v="TAUKIR"/>
    <x v="0"/>
    <x v="0"/>
  </r>
  <r>
    <n v="341"/>
    <x v="9"/>
    <x v="1"/>
    <s v="scuba"/>
    <n v="45925"/>
    <n v="20000"/>
    <s v="HASSAN"/>
    <x v="0"/>
    <x v="9"/>
  </r>
  <r>
    <n v="342"/>
    <x v="0"/>
    <x v="1"/>
    <s v="scuba"/>
    <n v="44504"/>
    <n v="15341"/>
    <s v="HASSAN"/>
    <x v="0"/>
    <x v="0"/>
  </r>
  <r>
    <n v="343"/>
    <x v="0"/>
    <x v="0"/>
    <s v="skateboard"/>
    <n v="45967"/>
    <n v="11012"/>
    <s v="HASSAN"/>
    <x v="0"/>
    <x v="0"/>
  </r>
  <r>
    <n v="344"/>
    <x v="1"/>
    <x v="1"/>
    <s v="bicycle"/>
    <n v="45486"/>
    <n v="12378"/>
    <s v="JUMER"/>
    <x v="1"/>
    <x v="1"/>
  </r>
  <r>
    <n v="345"/>
    <x v="2"/>
    <x v="2"/>
    <s v="scuba"/>
    <n v="45024"/>
    <n v="14439"/>
    <s v="TAUKIR"/>
    <x v="2"/>
    <x v="2"/>
  </r>
  <r>
    <n v="346"/>
    <x v="0"/>
    <x v="3"/>
    <s v="helmet"/>
    <n v="44357"/>
    <n v="20000"/>
    <s v="SHAKEEL"/>
    <x v="0"/>
    <x v="0"/>
  </r>
  <r>
    <n v="347"/>
    <x v="3"/>
    <x v="3"/>
    <s v="skateboard"/>
    <n v="43958"/>
    <n v="19524"/>
    <s v="HASSAN"/>
    <x v="0"/>
    <x v="3"/>
  </r>
  <r>
    <n v="348"/>
    <x v="4"/>
    <x v="0"/>
    <s v="skateboard"/>
    <n v="45546"/>
    <n v="15459"/>
    <s v="TAUKIR"/>
    <x v="1"/>
    <x v="4"/>
  </r>
  <r>
    <n v="349"/>
    <x v="5"/>
    <x v="2"/>
    <s v="scuba"/>
    <n v="44035"/>
    <n v="15496"/>
    <s v="HASSAN"/>
    <x v="2"/>
    <x v="5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DA4CBE1-551D-4D98-BC30-4751B8EECD1F}" name="PivotTable3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B253:D254" firstHeaderRow="0" firstDataRow="1" firstDataCol="0"/>
  <pivotFields count="9">
    <pivotField dataField="1" showAll="0"/>
    <pivotField showAll="0"/>
    <pivotField showAll="0"/>
    <pivotField showAll="0"/>
    <pivotField showAll="0"/>
    <pivotField dataField="1" showAll="0"/>
    <pivotField showAll="0"/>
    <pivotField showAll="0"/>
    <pivotField showAll="0"/>
  </pivotFields>
  <rowItems count="1">
    <i/>
  </rowItems>
  <colFields count="1">
    <field x="-2"/>
  </colFields>
  <colItems count="3">
    <i>
      <x/>
    </i>
    <i i="1">
      <x v="1"/>
    </i>
    <i i="2">
      <x v="2"/>
    </i>
  </colItems>
  <dataFields count="3">
    <dataField name="Min of Revenue2" fld="5" subtotal="min" baseField="0" baseItem="1"/>
    <dataField name="Max of Revenue2" fld="5" subtotal="max" baseField="0" baseItem="2"/>
    <dataField name="Count of Order_ID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5207F0D-2A80-4228-8A06-4C42FE1AFD47}" name="Table2" displayName="Table2" ref="A1:L250" totalsRowShown="0" headerRowDxfId="9" headerRowBorderDxfId="7" tableBorderDxfId="8">
  <autoFilter ref="A1:L250" xr:uid="{DE12DE8A-B619-4A64-8CAA-363CA1AEE737}"/>
  <tableColumns count="12">
    <tableColumn id="1" xr3:uid="{478F297A-9149-4147-9508-2621A1414895}" name="Order_ID"/>
    <tableColumn id="2" xr3:uid="{30C78943-0392-4394-A64A-25B00F69074F}" name="Customer_Name"/>
    <tableColumn id="3" xr3:uid="{F3D0AAA4-3773-44C7-9E8E-EB0A611197F6}" name="Region" dataDxfId="6"/>
    <tableColumn id="4" xr3:uid="{3BAAD89F-4304-4595-9B0A-A3500F42437B}" name="Product" dataDxfId="5"/>
    <tableColumn id="5" xr3:uid="{557587C0-A25F-47A9-93CB-BEDADAE2F765}" name="Order_Date"/>
    <tableColumn id="6" xr3:uid="{333CD078-8DFA-4573-9412-46A567BEE177}" name="Revenue"/>
    <tableColumn id="7" xr3:uid="{C51EE6F8-498C-483B-8F95-7991C63D1446}" name="Sales_Rep"/>
    <tableColumn id="8" xr3:uid="{4E0A1D74-A16C-4503-B338-05A5FAB2BA99}" name="Segment" dataDxfId="4">
      <calculatedColumnFormula>INDEX([1]CUSTOMER_DATA!B:B, MATCH(B2, [1]CUSTOMER_DATA!A:A, 0))</calculatedColumnFormula>
    </tableColumn>
    <tableColumn id="9" xr3:uid="{170D316E-AC64-4AEB-BAD1-4E234EC3EA5D}" name="City" dataDxfId="3">
      <calculatedColumnFormula>IFERROR(
    INDEX([1]CUSTOMER_DATA!C:C, MATCH(B2, [1]CUSTOMER_DATA!A:A, 0)),
    "Unknown"
)</calculatedColumnFormula>
    </tableColumn>
    <tableColumn id="10" xr3:uid="{CF7687AC-A8BE-4762-AA6C-B944ABDA3D67}" name="Order_Category" dataDxfId="2">
      <calculatedColumnFormula>IF(F2&gt;=20000,"high",IF(F2&gt;15000,"medium","low"))</calculatedColumnFormula>
    </tableColumn>
    <tableColumn id="11" xr3:uid="{75350BC8-523A-401E-90DB-E533319CF38C}" name="Comission" dataDxfId="1">
      <calculatedColumnFormula>IF(J3="high",0.1,IF(J3="medium",0.07,0.05))</calculatedColumnFormula>
    </tableColumn>
    <tableColumn id="12" xr3:uid="{81291EB8-6880-4E7E-BF98-6B8F54CA37EB}" name="Comission_Amount" dataDxfId="0">
      <calculatedColumnFormula>PRODUCT(F2:K2)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5BBA2C-9EEC-4CF8-85B5-53AA90DF37FB}">
  <dimension ref="A1:L259"/>
  <sheetViews>
    <sheetView tabSelected="1" topLeftCell="E1" zoomScale="140" zoomScaleNormal="140" workbookViewId="0">
      <selection activeCell="N2" sqref="N2"/>
    </sheetView>
  </sheetViews>
  <sheetFormatPr defaultRowHeight="14.5" x14ac:dyDescent="0.35"/>
  <cols>
    <col min="1" max="1" width="9.7265625" customWidth="1"/>
    <col min="2" max="2" width="15.26953125" bestFit="1" customWidth="1"/>
    <col min="3" max="3" width="15.54296875" bestFit="1" customWidth="1"/>
    <col min="4" max="4" width="16.36328125" bestFit="1" customWidth="1"/>
    <col min="5" max="6" width="14.54296875" bestFit="1" customWidth="1"/>
    <col min="7" max="7" width="10.54296875" customWidth="1"/>
    <col min="10" max="10" width="16.54296875" bestFit="1" customWidth="1"/>
    <col min="11" max="11" width="11.6328125" bestFit="1" customWidth="1"/>
    <col min="12" max="12" width="19.6328125" bestFit="1" customWidth="1"/>
  </cols>
  <sheetData>
    <row r="1" spans="1:12" x14ac:dyDescent="0.35">
      <c r="A1" s="13" t="s">
        <v>49</v>
      </c>
      <c r="B1" s="11" t="s">
        <v>48</v>
      </c>
      <c r="C1" s="11" t="s">
        <v>47</v>
      </c>
      <c r="D1" s="11" t="s">
        <v>46</v>
      </c>
      <c r="E1" s="11" t="s">
        <v>45</v>
      </c>
      <c r="F1" s="11" t="s">
        <v>44</v>
      </c>
      <c r="G1" s="12" t="s">
        <v>43</v>
      </c>
      <c r="H1" s="11" t="s">
        <v>42</v>
      </c>
      <c r="I1" s="11" t="s">
        <v>41</v>
      </c>
      <c r="J1" s="11" t="s">
        <v>40</v>
      </c>
      <c r="K1" s="11" t="s">
        <v>39</v>
      </c>
      <c r="L1" s="11" t="s">
        <v>38</v>
      </c>
    </row>
    <row r="2" spans="1:12" x14ac:dyDescent="0.35">
      <c r="A2">
        <v>101</v>
      </c>
      <c r="B2" t="s">
        <v>27</v>
      </c>
      <c r="C2" t="s">
        <v>21</v>
      </c>
      <c r="D2" t="s">
        <v>20</v>
      </c>
      <c r="E2">
        <v>45967</v>
      </c>
      <c r="F2">
        <v>11012</v>
      </c>
      <c r="G2" t="s">
        <v>15</v>
      </c>
      <c r="H2" t="str">
        <f>INDEX([1]CUSTOMER_DATA!B:B, MATCH(B2, [1]CUSTOMER_DATA!A:A, 0))</f>
        <v>Corporate</v>
      </c>
      <c r="I2" t="str">
        <f>IFERROR(
    INDEX([1]CUSTOMER_DATA!C:C, MATCH(B2, [1]CUSTOMER_DATA!A:A, 0)),
    "Unknown"
)</f>
        <v>Mumbai</v>
      </c>
      <c r="J2" t="str">
        <f>IF(F2&gt;=20000,"high",IF(F2&gt;15000,"medium","low"))</f>
        <v>low</v>
      </c>
      <c r="K2" s="10">
        <f>IF(J3="high",0.1,IF(J3="medium",0.07,0.05))</f>
        <v>0.05</v>
      </c>
      <c r="L2" s="9">
        <f>PRODUCT(F2:K2)</f>
        <v>550.6</v>
      </c>
    </row>
    <row r="3" spans="1:12" x14ac:dyDescent="0.35">
      <c r="A3">
        <v>102</v>
      </c>
      <c r="B3" t="s">
        <v>32</v>
      </c>
      <c r="C3" t="s">
        <v>31</v>
      </c>
      <c r="D3" t="s">
        <v>30</v>
      </c>
      <c r="E3">
        <v>45486</v>
      </c>
      <c r="F3">
        <v>12378</v>
      </c>
      <c r="G3" t="s">
        <v>29</v>
      </c>
      <c r="H3" t="str">
        <f>INDEX([1]CUSTOMER_DATA!B:B, MATCH(B3, [1]CUSTOMER_DATA!A:A, 0))</f>
        <v>Retail</v>
      </c>
      <c r="I3" t="str">
        <f>IFERROR(
    INDEX([1]CUSTOMER_DATA!C:C, MATCH(B3, [1]CUSTOMER_DATA!A:A, 0)),
    "Unknown"
)</f>
        <v>Delhi</v>
      </c>
      <c r="J3" t="str">
        <f>IF(F3&gt;=20000,"high",IF(F3&gt;15000,"medium","low"))</f>
        <v>low</v>
      </c>
      <c r="K3" s="10">
        <f>IF(J4="high",0.1,IF(J4="medium",0.07,0.05))</f>
        <v>0.05</v>
      </c>
      <c r="L3" s="9">
        <f>PRODUCT(F3:K3)</f>
        <v>618.90000000000009</v>
      </c>
    </row>
    <row r="4" spans="1:12" x14ac:dyDescent="0.35">
      <c r="A4">
        <v>103</v>
      </c>
      <c r="B4" t="s">
        <v>28</v>
      </c>
      <c r="C4" t="s">
        <v>17</v>
      </c>
      <c r="D4" t="s">
        <v>16</v>
      </c>
      <c r="E4">
        <v>45024</v>
      </c>
      <c r="F4">
        <v>14439</v>
      </c>
      <c r="G4" t="s">
        <v>19</v>
      </c>
      <c r="H4" t="str">
        <f>INDEX([1]CUSTOMER_DATA!B:B, MATCH(B4, [1]CUSTOMER_DATA!A:A, 0))</f>
        <v>SMB</v>
      </c>
      <c r="I4" t="str">
        <f>IFERROR(
    INDEX([1]CUSTOMER_DATA!C:C, MATCH(B4, [1]CUSTOMER_DATA!A:A, 0)),
    "Unknown"
)</f>
        <v>Chennai</v>
      </c>
      <c r="J4" t="str">
        <f>IF(F4&gt;=20000,"high",IF(F4&gt;15000,"medium","low"))</f>
        <v>low</v>
      </c>
      <c r="K4" s="10">
        <f>IF(J5="high",0.1,IF(J5="medium",0.07,0.05))</f>
        <v>0.1</v>
      </c>
      <c r="L4" s="9">
        <f>PRODUCT(F4:K4)</f>
        <v>1443.9</v>
      </c>
    </row>
    <row r="5" spans="1:12" x14ac:dyDescent="0.35">
      <c r="A5">
        <v>104</v>
      </c>
      <c r="B5" t="s">
        <v>27</v>
      </c>
      <c r="C5" t="s">
        <v>23</v>
      </c>
      <c r="D5" t="s">
        <v>26</v>
      </c>
      <c r="E5">
        <v>44357</v>
      </c>
      <c r="F5">
        <v>20000</v>
      </c>
      <c r="G5" t="s">
        <v>25</v>
      </c>
      <c r="H5" t="str">
        <f>INDEX([1]CUSTOMER_DATA!B:B, MATCH(B5, [1]CUSTOMER_DATA!A:A, 0))</f>
        <v>Corporate</v>
      </c>
      <c r="I5" t="str">
        <f>IFERROR(
    INDEX([1]CUSTOMER_DATA!C:C, MATCH(B5, [1]CUSTOMER_DATA!A:A, 0)),
    "Unknown"
)</f>
        <v>Mumbai</v>
      </c>
      <c r="J5" t="str">
        <f>IF(F5&gt;=20000,"high",IF(F5&gt;15000,"medium","low"))</f>
        <v>high</v>
      </c>
      <c r="K5" s="10">
        <f>IF(J6="high",0.1,IF(J6="medium",0.07,0.05))</f>
        <v>7.0000000000000007E-2</v>
      </c>
      <c r="L5" s="9">
        <f>PRODUCT(F5:K5)</f>
        <v>1400.0000000000002</v>
      </c>
    </row>
    <row r="6" spans="1:12" x14ac:dyDescent="0.35">
      <c r="A6">
        <v>105</v>
      </c>
      <c r="B6" t="s">
        <v>24</v>
      </c>
      <c r="C6" t="s">
        <v>23</v>
      </c>
      <c r="D6" t="s">
        <v>20</v>
      </c>
      <c r="E6">
        <v>43958</v>
      </c>
      <c r="F6">
        <v>19524</v>
      </c>
      <c r="G6" t="s">
        <v>15</v>
      </c>
      <c r="H6" t="str">
        <f>INDEX([1]CUSTOMER_DATA!B:B, MATCH(B6, [1]CUSTOMER_DATA!A:A, 0))</f>
        <v>Corporate</v>
      </c>
      <c r="I6" t="str">
        <f>IFERROR(
    INDEX([1]CUSTOMER_DATA!C:C, MATCH(B6, [1]CUSTOMER_DATA!A:A, 0)),
    "Unknown"
)</f>
        <v>Ahmedabad</v>
      </c>
      <c r="J6" t="str">
        <f>IF(F6&gt;=20000,"high",IF(F6&gt;15000,"medium","low"))</f>
        <v>medium</v>
      </c>
      <c r="K6" s="10">
        <f>IF(J7="high",0.1,IF(J7="medium",0.07,0.05))</f>
        <v>7.0000000000000007E-2</v>
      </c>
      <c r="L6" s="9">
        <f>PRODUCT(F6:K6)</f>
        <v>1366.68</v>
      </c>
    </row>
    <row r="7" spans="1:12" x14ac:dyDescent="0.35">
      <c r="A7">
        <v>106</v>
      </c>
      <c r="B7" t="s">
        <v>22</v>
      </c>
      <c r="C7" t="s">
        <v>21</v>
      </c>
      <c r="D7" t="s">
        <v>20</v>
      </c>
      <c r="E7">
        <v>45546</v>
      </c>
      <c r="F7">
        <v>15459</v>
      </c>
      <c r="G7" t="s">
        <v>19</v>
      </c>
      <c r="H7" t="str">
        <f>INDEX([1]CUSTOMER_DATA!B:B, MATCH(B7, [1]CUSTOMER_DATA!A:A, 0))</f>
        <v>Retail</v>
      </c>
      <c r="I7" t="str">
        <f>IFERROR(
    INDEX([1]CUSTOMER_DATA!C:C, MATCH(B7, [1]CUSTOMER_DATA!A:A, 0)),
    "Unknown"
)</f>
        <v>Kolkata</v>
      </c>
      <c r="J7" t="str">
        <f>IF(F7&gt;=20000,"high",IF(F7&gt;15000,"medium","low"))</f>
        <v>medium</v>
      </c>
      <c r="K7" s="10">
        <f>IF(J8="high",0.1,IF(J8="medium",0.07,0.05))</f>
        <v>7.0000000000000007E-2</v>
      </c>
      <c r="L7" s="9">
        <f>PRODUCT(F7:K7)</f>
        <v>1082.1300000000001</v>
      </c>
    </row>
    <row r="8" spans="1:12" x14ac:dyDescent="0.35">
      <c r="A8">
        <v>107</v>
      </c>
      <c r="B8" t="s">
        <v>18</v>
      </c>
      <c r="C8" t="s">
        <v>17</v>
      </c>
      <c r="D8" t="s">
        <v>16</v>
      </c>
      <c r="E8">
        <v>44035</v>
      </c>
      <c r="F8">
        <v>15496</v>
      </c>
      <c r="G8" t="s">
        <v>29</v>
      </c>
      <c r="H8" t="str">
        <f>INDEX([1]CUSTOMER_DATA!B:B, MATCH(B8, [1]CUSTOMER_DATA!A:A, 0))</f>
        <v>SMB</v>
      </c>
      <c r="I8" t="str">
        <f>IFERROR(
    INDEX([1]CUSTOMER_DATA!C:C, MATCH(B8, [1]CUSTOMER_DATA!A:A, 0)),
    "Unknown"
)</f>
        <v>Pune</v>
      </c>
      <c r="J8" t="str">
        <f>IF(F8&gt;=20000,"high",IF(F8&gt;15000,"medium","low"))</f>
        <v>medium</v>
      </c>
      <c r="K8" s="10">
        <f>IF(J9="high",0.1,IF(J9="medium",0.07,0.05))</f>
        <v>7.0000000000000007E-2</v>
      </c>
      <c r="L8" s="9">
        <f>PRODUCT(F8:K8)</f>
        <v>1084.72</v>
      </c>
    </row>
    <row r="9" spans="1:12" x14ac:dyDescent="0.35">
      <c r="A9">
        <v>108</v>
      </c>
      <c r="B9" t="s">
        <v>27</v>
      </c>
      <c r="C9" t="s">
        <v>31</v>
      </c>
      <c r="D9" t="s">
        <v>30</v>
      </c>
      <c r="E9">
        <v>45410</v>
      </c>
      <c r="F9">
        <v>17064</v>
      </c>
      <c r="G9" t="s">
        <v>25</v>
      </c>
      <c r="H9" t="str">
        <f>INDEX([1]CUSTOMER_DATA!B:B, MATCH(B9, [1]CUSTOMER_DATA!A:A, 0))</f>
        <v>Corporate</v>
      </c>
      <c r="I9" t="str">
        <f>IFERROR(
    INDEX([1]CUSTOMER_DATA!C:C, MATCH(B9, [1]CUSTOMER_DATA!A:A, 0)),
    "Unknown"
)</f>
        <v>Mumbai</v>
      </c>
      <c r="J9" t="str">
        <f>IF(F9&gt;=20000,"high",IF(F9&gt;15000,"medium","low"))</f>
        <v>medium</v>
      </c>
      <c r="K9" s="10">
        <f>IF(J10="high",0.1,IF(J10="medium",0.07,0.05))</f>
        <v>0.05</v>
      </c>
      <c r="L9" s="9">
        <f>PRODUCT(F9:K9)</f>
        <v>853.2</v>
      </c>
    </row>
    <row r="10" spans="1:12" x14ac:dyDescent="0.35">
      <c r="A10">
        <v>109</v>
      </c>
      <c r="B10" t="s">
        <v>36</v>
      </c>
      <c r="C10" t="s">
        <v>23</v>
      </c>
      <c r="D10" t="s">
        <v>30</v>
      </c>
      <c r="E10">
        <v>44926</v>
      </c>
      <c r="F10">
        <v>12546</v>
      </c>
      <c r="G10" t="s">
        <v>19</v>
      </c>
      <c r="H10" t="str">
        <f>INDEX([1]CUSTOMER_DATA!B:B, MATCH(B10, [1]CUSTOMER_DATA!A:A, 0))</f>
        <v>Retail</v>
      </c>
      <c r="I10" t="str">
        <f>IFERROR(
    INDEX([1]CUSTOMER_DATA!C:C, MATCH(B10, [1]CUSTOMER_DATA!A:A, 0)),
    "Unknown"
)</f>
        <v>Hyderabad</v>
      </c>
      <c r="J10" t="str">
        <f>IF(F10&gt;=20000,"high",IF(F10&gt;15000,"medium","low"))</f>
        <v>low</v>
      </c>
      <c r="K10" s="10">
        <f>IF(J11="high",0.1,IF(J11="medium",0.07,0.05))</f>
        <v>0.05</v>
      </c>
      <c r="L10" s="9">
        <f>PRODUCT(F10:K10)</f>
        <v>627.30000000000007</v>
      </c>
    </row>
    <row r="11" spans="1:12" x14ac:dyDescent="0.35">
      <c r="A11">
        <v>110</v>
      </c>
      <c r="B11" t="s">
        <v>35</v>
      </c>
      <c r="C11" t="s">
        <v>23</v>
      </c>
      <c r="D11" t="s">
        <v>20</v>
      </c>
      <c r="E11">
        <v>44686</v>
      </c>
      <c r="F11">
        <v>12480</v>
      </c>
      <c r="G11" t="s">
        <v>25</v>
      </c>
      <c r="H11" t="str">
        <f>INDEX([1]CUSTOMER_DATA!B:B, MATCH(B11, [1]CUSTOMER_DATA!A:A, 0))</f>
        <v>Corporate</v>
      </c>
      <c r="I11" t="str">
        <f>IFERROR(
    INDEX([1]CUSTOMER_DATA!C:C, MATCH(B11, [1]CUSTOMER_DATA!A:A, 0)),
    "Unknown"
)</f>
        <v>Bangalore</v>
      </c>
      <c r="J11" t="str">
        <f>IF(F11&gt;=20000,"high",IF(F11&gt;15000,"medium","low"))</f>
        <v>low</v>
      </c>
      <c r="K11" s="10">
        <f>IF(J12="high",0.1,IF(J12="medium",0.07,0.05))</f>
        <v>0.05</v>
      </c>
      <c r="L11" s="9">
        <f>PRODUCT(F11:K11)</f>
        <v>624</v>
      </c>
    </row>
    <row r="12" spans="1:12" x14ac:dyDescent="0.35">
      <c r="A12">
        <v>111</v>
      </c>
      <c r="B12" t="s">
        <v>32</v>
      </c>
      <c r="C12" t="s">
        <v>17</v>
      </c>
      <c r="D12" t="s">
        <v>26</v>
      </c>
      <c r="E12">
        <v>44641</v>
      </c>
      <c r="F12">
        <v>10699</v>
      </c>
      <c r="G12" t="s">
        <v>29</v>
      </c>
      <c r="H12" t="str">
        <f>INDEX([1]CUSTOMER_DATA!B:B, MATCH(B12, [1]CUSTOMER_DATA!A:A, 0))</f>
        <v>Retail</v>
      </c>
      <c r="I12" t="str">
        <f>IFERROR(
    INDEX([1]CUSTOMER_DATA!C:C, MATCH(B12, [1]CUSTOMER_DATA!A:A, 0)),
    "Unknown"
)</f>
        <v>Delhi</v>
      </c>
      <c r="J12" t="str">
        <f>IF(F12&gt;=20000,"high",IF(F12&gt;15000,"medium","low"))</f>
        <v>low</v>
      </c>
      <c r="K12" s="10">
        <f>IF(J13="high",0.1,IF(J13="medium",0.07,0.05))</f>
        <v>0.05</v>
      </c>
      <c r="L12" s="9">
        <f>PRODUCT(F12:K12)</f>
        <v>534.95000000000005</v>
      </c>
    </row>
    <row r="13" spans="1:12" x14ac:dyDescent="0.35">
      <c r="A13">
        <v>112</v>
      </c>
      <c r="B13" t="s">
        <v>27</v>
      </c>
      <c r="C13" t="s">
        <v>21</v>
      </c>
      <c r="D13" t="s">
        <v>26</v>
      </c>
      <c r="E13">
        <v>45504</v>
      </c>
      <c r="F13">
        <v>10960</v>
      </c>
      <c r="G13" t="s">
        <v>25</v>
      </c>
      <c r="H13" t="str">
        <f>INDEX([1]CUSTOMER_DATA!B:B, MATCH(B13, [1]CUSTOMER_DATA!A:A, 0))</f>
        <v>Corporate</v>
      </c>
      <c r="I13" t="str">
        <f>IFERROR(
    INDEX([1]CUSTOMER_DATA!C:C, MATCH(B13, [1]CUSTOMER_DATA!A:A, 0)),
    "Unknown"
)</f>
        <v>Mumbai</v>
      </c>
      <c r="J13" t="str">
        <f>IF(F13&gt;=20000,"high",IF(F13&gt;15000,"medium","low"))</f>
        <v>low</v>
      </c>
      <c r="K13" s="10">
        <f>IF(J14="high",0.1,IF(J14="medium",0.07,0.05))</f>
        <v>0.1</v>
      </c>
      <c r="L13" s="9">
        <f>PRODUCT(F13:K13)</f>
        <v>1096</v>
      </c>
    </row>
    <row r="14" spans="1:12" x14ac:dyDescent="0.35">
      <c r="A14">
        <v>113</v>
      </c>
      <c r="B14" t="s">
        <v>34</v>
      </c>
      <c r="C14" t="s">
        <v>23</v>
      </c>
      <c r="D14" t="s">
        <v>16</v>
      </c>
      <c r="E14">
        <v>44483</v>
      </c>
      <c r="F14">
        <v>20000</v>
      </c>
      <c r="G14" t="s">
        <v>19</v>
      </c>
      <c r="H14" t="str">
        <f>INDEX([1]CUSTOMER_DATA!B:B, MATCH(B14, [1]CUSTOMER_DATA!A:A, 0))</f>
        <v>SMB</v>
      </c>
      <c r="I14" t="str">
        <f>IFERROR(
    INDEX([1]CUSTOMER_DATA!C:C, MATCH(B14, [1]CUSTOMER_DATA!A:A, 0)),
    "Unknown"
)</f>
        <v>Jaipur</v>
      </c>
      <c r="J14" t="str">
        <f>IF(F14&gt;=20000,"high",IF(F14&gt;15000,"medium","low"))</f>
        <v>high</v>
      </c>
      <c r="K14" s="10">
        <f>IF(J15="high",0.1,IF(J15="medium",0.07,0.05))</f>
        <v>0.05</v>
      </c>
      <c r="L14" s="9">
        <f>PRODUCT(F14:K14)</f>
        <v>1000</v>
      </c>
    </row>
    <row r="15" spans="1:12" x14ac:dyDescent="0.35">
      <c r="A15">
        <v>114</v>
      </c>
      <c r="B15" t="s">
        <v>32</v>
      </c>
      <c r="C15" t="s">
        <v>17</v>
      </c>
      <c r="D15" t="s">
        <v>30</v>
      </c>
      <c r="E15">
        <v>44333</v>
      </c>
      <c r="F15">
        <v>11654</v>
      </c>
      <c r="G15" t="s">
        <v>19</v>
      </c>
      <c r="H15" t="str">
        <f>INDEX([1]CUSTOMER_DATA!B:B, MATCH(B15, [1]CUSTOMER_DATA!A:A, 0))</f>
        <v>Retail</v>
      </c>
      <c r="I15" t="str">
        <f>IFERROR(
    INDEX([1]CUSTOMER_DATA!C:C, MATCH(B15, [1]CUSTOMER_DATA!A:A, 0)),
    "Unknown"
)</f>
        <v>Delhi</v>
      </c>
      <c r="J15" t="str">
        <f>IF(F15&gt;=20000,"high",IF(F15&gt;15000,"medium","low"))</f>
        <v>low</v>
      </c>
      <c r="K15" s="10">
        <f>IF(J16="high",0.1,IF(J16="medium",0.07,0.05))</f>
        <v>0.05</v>
      </c>
      <c r="L15" s="9">
        <f>PRODUCT(F15:K15)</f>
        <v>582.70000000000005</v>
      </c>
    </row>
    <row r="16" spans="1:12" x14ac:dyDescent="0.35">
      <c r="A16">
        <v>115</v>
      </c>
      <c r="B16" t="s">
        <v>32</v>
      </c>
      <c r="C16" t="s">
        <v>31</v>
      </c>
      <c r="D16" t="s">
        <v>16</v>
      </c>
      <c r="E16">
        <v>44955</v>
      </c>
      <c r="F16">
        <v>13498</v>
      </c>
      <c r="G16" t="s">
        <v>19</v>
      </c>
      <c r="H16" t="str">
        <f>INDEX([1]CUSTOMER_DATA!B:B, MATCH(B16, [1]CUSTOMER_DATA!A:A, 0))</f>
        <v>Retail</v>
      </c>
      <c r="I16" t="str">
        <f>IFERROR(
    INDEX([1]CUSTOMER_DATA!C:C, MATCH(B16, [1]CUSTOMER_DATA!A:A, 0)),
    "Unknown"
)</f>
        <v>Delhi</v>
      </c>
      <c r="J16" t="str">
        <f>IF(F16&gt;=20000,"high",IF(F16&gt;15000,"medium","low"))</f>
        <v>low</v>
      </c>
      <c r="K16" s="10">
        <f>IF(J17="high",0.1,IF(J17="medium",0.07,0.05))</f>
        <v>7.0000000000000007E-2</v>
      </c>
      <c r="L16" s="9">
        <f>PRODUCT(F16:K16)</f>
        <v>944.86000000000013</v>
      </c>
    </row>
    <row r="17" spans="1:12" x14ac:dyDescent="0.35">
      <c r="A17">
        <v>116</v>
      </c>
      <c r="B17" t="s">
        <v>27</v>
      </c>
      <c r="C17" t="s">
        <v>21</v>
      </c>
      <c r="D17" t="s">
        <v>16</v>
      </c>
      <c r="E17">
        <v>46110</v>
      </c>
      <c r="F17">
        <v>18665</v>
      </c>
      <c r="G17" t="s">
        <v>19</v>
      </c>
      <c r="H17" t="str">
        <f>INDEX([1]CUSTOMER_DATA!B:B, MATCH(B17, [1]CUSTOMER_DATA!A:A, 0))</f>
        <v>Corporate</v>
      </c>
      <c r="I17" t="str">
        <f>IFERROR(
    INDEX([1]CUSTOMER_DATA!C:C, MATCH(B17, [1]CUSTOMER_DATA!A:A, 0)),
    "Unknown"
)</f>
        <v>Mumbai</v>
      </c>
      <c r="J17" t="str">
        <f>IF(F17&gt;=20000,"high",IF(F17&gt;15000,"medium","low"))</f>
        <v>medium</v>
      </c>
      <c r="K17" s="10">
        <f>IF(J18="high",0.1,IF(J18="medium",0.07,0.05))</f>
        <v>0.1</v>
      </c>
      <c r="L17" s="9">
        <f>PRODUCT(F17:K17)</f>
        <v>1866.5</v>
      </c>
    </row>
    <row r="18" spans="1:12" x14ac:dyDescent="0.35">
      <c r="A18">
        <v>117</v>
      </c>
      <c r="B18" t="s">
        <v>33</v>
      </c>
      <c r="C18" t="s">
        <v>31</v>
      </c>
      <c r="D18" t="s">
        <v>16</v>
      </c>
      <c r="E18">
        <v>45925</v>
      </c>
      <c r="F18">
        <v>20000</v>
      </c>
      <c r="G18" t="s">
        <v>15</v>
      </c>
      <c r="H18" t="str">
        <f>INDEX([1]CUSTOMER_DATA!B:B, MATCH(B18, [1]CUSTOMER_DATA!A:A, 0))</f>
        <v>Corporate</v>
      </c>
      <c r="I18" t="str">
        <f>IFERROR(
    INDEX([1]CUSTOMER_DATA!C:C, MATCH(B18, [1]CUSTOMER_DATA!A:A, 0)),
    "Unknown"
)</f>
        <v>Surat</v>
      </c>
      <c r="J18" t="str">
        <f>IF(F18&gt;=20000,"high",IF(F18&gt;15000,"medium","low"))</f>
        <v>high</v>
      </c>
      <c r="K18" s="10">
        <f>IF(J19="high",0.1,IF(J19="medium",0.07,0.05))</f>
        <v>7.0000000000000007E-2</v>
      </c>
      <c r="L18" s="9">
        <f>PRODUCT(F18:K18)</f>
        <v>1400.0000000000002</v>
      </c>
    </row>
    <row r="19" spans="1:12" x14ac:dyDescent="0.35">
      <c r="A19">
        <v>118</v>
      </c>
      <c r="B19" t="s">
        <v>27</v>
      </c>
      <c r="C19" t="s">
        <v>31</v>
      </c>
      <c r="D19" t="s">
        <v>16</v>
      </c>
      <c r="E19">
        <v>44504</v>
      </c>
      <c r="F19">
        <v>15341</v>
      </c>
      <c r="G19" t="s">
        <v>15</v>
      </c>
      <c r="H19" t="str">
        <f>INDEX([1]CUSTOMER_DATA!B:B, MATCH(B19, [1]CUSTOMER_DATA!A:A, 0))</f>
        <v>Corporate</v>
      </c>
      <c r="I19" t="str">
        <f>IFERROR(
    INDEX([1]CUSTOMER_DATA!C:C, MATCH(B19, [1]CUSTOMER_DATA!A:A, 0)),
    "Unknown"
)</f>
        <v>Mumbai</v>
      </c>
      <c r="J19" t="str">
        <f>IF(F19&gt;=20000,"high",IF(F19&gt;15000,"medium","low"))</f>
        <v>medium</v>
      </c>
      <c r="K19" s="10">
        <f>IF(J20="high",0.1,IF(J20="medium",0.07,0.05))</f>
        <v>0.05</v>
      </c>
      <c r="L19" s="9">
        <f>PRODUCT(F19:K19)</f>
        <v>767.05000000000007</v>
      </c>
    </row>
    <row r="20" spans="1:12" x14ac:dyDescent="0.35">
      <c r="A20">
        <v>119</v>
      </c>
      <c r="B20" t="s">
        <v>27</v>
      </c>
      <c r="C20" t="s">
        <v>21</v>
      </c>
      <c r="D20" t="s">
        <v>20</v>
      </c>
      <c r="E20">
        <v>45967</v>
      </c>
      <c r="F20">
        <v>11012</v>
      </c>
      <c r="G20" t="s">
        <v>15</v>
      </c>
      <c r="H20" t="str">
        <f>INDEX([1]CUSTOMER_DATA!B:B, MATCH(B20, [1]CUSTOMER_DATA!A:A, 0))</f>
        <v>Corporate</v>
      </c>
      <c r="I20" t="str">
        <f>IFERROR(
    INDEX([1]CUSTOMER_DATA!C:C, MATCH(B20, [1]CUSTOMER_DATA!A:A, 0)),
    "Unknown"
)</f>
        <v>Mumbai</v>
      </c>
      <c r="J20" t="str">
        <f>IF(F20&gt;=20000,"high",IF(F20&gt;15000,"medium","low"))</f>
        <v>low</v>
      </c>
      <c r="K20" s="10">
        <f>IF(J21="high",0.1,IF(J21="medium",0.07,0.05))</f>
        <v>0.05</v>
      </c>
      <c r="L20" s="9">
        <f>PRODUCT(F20:K20)</f>
        <v>550.6</v>
      </c>
    </row>
    <row r="21" spans="1:12" x14ac:dyDescent="0.35">
      <c r="A21">
        <v>120</v>
      </c>
      <c r="B21" t="s">
        <v>32</v>
      </c>
      <c r="C21" t="s">
        <v>31</v>
      </c>
      <c r="D21" t="s">
        <v>30</v>
      </c>
      <c r="E21">
        <v>45486</v>
      </c>
      <c r="F21">
        <v>12378</v>
      </c>
      <c r="G21" t="s">
        <v>29</v>
      </c>
      <c r="H21" t="str">
        <f>INDEX([1]CUSTOMER_DATA!B:B, MATCH(B21, [1]CUSTOMER_DATA!A:A, 0))</f>
        <v>Retail</v>
      </c>
      <c r="I21" t="str">
        <f>IFERROR(
    INDEX([1]CUSTOMER_DATA!C:C, MATCH(B21, [1]CUSTOMER_DATA!A:A, 0)),
    "Unknown"
)</f>
        <v>Delhi</v>
      </c>
      <c r="J21" t="str">
        <f>IF(F21&gt;=20000,"high",IF(F21&gt;15000,"medium","low"))</f>
        <v>low</v>
      </c>
      <c r="K21" s="10">
        <f>IF(J22="high",0.1,IF(J22="medium",0.07,0.05))</f>
        <v>0.05</v>
      </c>
      <c r="L21" s="9">
        <f>PRODUCT(F21:K21)</f>
        <v>618.90000000000009</v>
      </c>
    </row>
    <row r="22" spans="1:12" x14ac:dyDescent="0.35">
      <c r="A22">
        <v>121</v>
      </c>
      <c r="B22" t="s">
        <v>28</v>
      </c>
      <c r="C22" t="s">
        <v>17</v>
      </c>
      <c r="D22" t="s">
        <v>16</v>
      </c>
      <c r="E22">
        <v>45024</v>
      </c>
      <c r="F22">
        <v>14439</v>
      </c>
      <c r="G22" t="s">
        <v>19</v>
      </c>
      <c r="H22" t="str">
        <f>INDEX([1]CUSTOMER_DATA!B:B, MATCH(B22, [1]CUSTOMER_DATA!A:A, 0))</f>
        <v>SMB</v>
      </c>
      <c r="I22" t="str">
        <f>IFERROR(
    INDEX([1]CUSTOMER_DATA!C:C, MATCH(B22, [1]CUSTOMER_DATA!A:A, 0)),
    "Unknown"
)</f>
        <v>Chennai</v>
      </c>
      <c r="J22" t="str">
        <f>IF(F22&gt;=20000,"high",IF(F22&gt;15000,"medium","low"))</f>
        <v>low</v>
      </c>
      <c r="K22" s="10">
        <f>IF(J23="high",0.1,IF(J23="medium",0.07,0.05))</f>
        <v>0.1</v>
      </c>
      <c r="L22" s="9">
        <f>PRODUCT(F22:K22)</f>
        <v>1443.9</v>
      </c>
    </row>
    <row r="23" spans="1:12" x14ac:dyDescent="0.35">
      <c r="A23">
        <v>122</v>
      </c>
      <c r="B23" t="s">
        <v>27</v>
      </c>
      <c r="C23" t="s">
        <v>23</v>
      </c>
      <c r="D23" t="s">
        <v>26</v>
      </c>
      <c r="E23">
        <v>44357</v>
      </c>
      <c r="F23">
        <v>20000</v>
      </c>
      <c r="G23" t="s">
        <v>25</v>
      </c>
      <c r="H23" t="str">
        <f>INDEX([1]CUSTOMER_DATA!B:B, MATCH(B23, [1]CUSTOMER_DATA!A:A, 0))</f>
        <v>Corporate</v>
      </c>
      <c r="I23" t="str">
        <f>IFERROR(
    INDEX([1]CUSTOMER_DATA!C:C, MATCH(B23, [1]CUSTOMER_DATA!A:A, 0)),
    "Unknown"
)</f>
        <v>Mumbai</v>
      </c>
      <c r="J23" t="str">
        <f>IF(F23&gt;=20000,"high",IF(F23&gt;15000,"medium","low"))</f>
        <v>high</v>
      </c>
      <c r="K23" s="10">
        <f>IF(J24="high",0.1,IF(J24="medium",0.07,0.05))</f>
        <v>7.0000000000000007E-2</v>
      </c>
      <c r="L23" s="9">
        <f>PRODUCT(F23:K23)</f>
        <v>1400.0000000000002</v>
      </c>
    </row>
    <row r="24" spans="1:12" x14ac:dyDescent="0.35">
      <c r="A24">
        <v>123</v>
      </c>
      <c r="B24" t="s">
        <v>24</v>
      </c>
      <c r="C24" t="s">
        <v>23</v>
      </c>
      <c r="D24" t="s">
        <v>20</v>
      </c>
      <c r="E24">
        <v>43958</v>
      </c>
      <c r="F24">
        <v>19524</v>
      </c>
      <c r="G24" t="s">
        <v>15</v>
      </c>
      <c r="H24" t="str">
        <f>INDEX([1]CUSTOMER_DATA!B:B, MATCH(B24, [1]CUSTOMER_DATA!A:A, 0))</f>
        <v>Corporate</v>
      </c>
      <c r="I24" t="str">
        <f>IFERROR(
    INDEX([1]CUSTOMER_DATA!C:C, MATCH(B24, [1]CUSTOMER_DATA!A:A, 0)),
    "Unknown"
)</f>
        <v>Ahmedabad</v>
      </c>
      <c r="J24" t="str">
        <f>IF(F24&gt;=20000,"high",IF(F24&gt;15000,"medium","low"))</f>
        <v>medium</v>
      </c>
      <c r="K24" s="10">
        <f>IF(J25="high",0.1,IF(J25="medium",0.07,0.05))</f>
        <v>7.0000000000000007E-2</v>
      </c>
      <c r="L24" s="9">
        <f>PRODUCT(F24:K24)</f>
        <v>1366.68</v>
      </c>
    </row>
    <row r="25" spans="1:12" x14ac:dyDescent="0.35">
      <c r="A25">
        <v>124</v>
      </c>
      <c r="B25" t="s">
        <v>22</v>
      </c>
      <c r="C25" t="s">
        <v>21</v>
      </c>
      <c r="D25" t="s">
        <v>20</v>
      </c>
      <c r="E25">
        <v>45546</v>
      </c>
      <c r="F25">
        <v>15459</v>
      </c>
      <c r="G25" t="s">
        <v>19</v>
      </c>
      <c r="H25" t="str">
        <f>INDEX([1]CUSTOMER_DATA!B:B, MATCH(B25, [1]CUSTOMER_DATA!A:A, 0))</f>
        <v>Retail</v>
      </c>
      <c r="I25" t="str">
        <f>IFERROR(
    INDEX([1]CUSTOMER_DATA!C:C, MATCH(B25, [1]CUSTOMER_DATA!A:A, 0)),
    "Unknown"
)</f>
        <v>Kolkata</v>
      </c>
      <c r="J25" t="str">
        <f>IF(F25&gt;=20000,"high",IF(F25&gt;15000,"medium","low"))</f>
        <v>medium</v>
      </c>
      <c r="K25" s="10">
        <f>IF(J26="high",0.1,IF(J26="medium",0.07,0.05))</f>
        <v>7.0000000000000007E-2</v>
      </c>
      <c r="L25" s="9">
        <f>PRODUCT(F25:K25)</f>
        <v>1082.1300000000001</v>
      </c>
    </row>
    <row r="26" spans="1:12" x14ac:dyDescent="0.35">
      <c r="A26">
        <v>125</v>
      </c>
      <c r="B26" t="s">
        <v>18</v>
      </c>
      <c r="C26" t="s">
        <v>17</v>
      </c>
      <c r="D26" t="s">
        <v>16</v>
      </c>
      <c r="E26">
        <v>44035</v>
      </c>
      <c r="F26">
        <v>15496</v>
      </c>
      <c r="G26" t="s">
        <v>29</v>
      </c>
      <c r="H26" t="str">
        <f>INDEX([1]CUSTOMER_DATA!B:B, MATCH(B26, [1]CUSTOMER_DATA!A:A, 0))</f>
        <v>SMB</v>
      </c>
      <c r="I26" t="str">
        <f>IFERROR(
    INDEX([1]CUSTOMER_DATA!C:C, MATCH(B26, [1]CUSTOMER_DATA!A:A, 0)),
    "Unknown"
)</f>
        <v>Pune</v>
      </c>
      <c r="J26" t="str">
        <f>IF(F26&gt;=20000,"high",IF(F26&gt;15000,"medium","low"))</f>
        <v>medium</v>
      </c>
      <c r="K26" s="10">
        <f>IF(J27="high",0.1,IF(J27="medium",0.07,0.05))</f>
        <v>7.0000000000000007E-2</v>
      </c>
      <c r="L26" s="9">
        <f>PRODUCT(F26:K26)</f>
        <v>1084.72</v>
      </c>
    </row>
    <row r="27" spans="1:12" x14ac:dyDescent="0.35">
      <c r="A27">
        <v>126</v>
      </c>
      <c r="B27" t="s">
        <v>27</v>
      </c>
      <c r="C27" t="s">
        <v>31</v>
      </c>
      <c r="D27" t="s">
        <v>30</v>
      </c>
      <c r="E27">
        <v>45410</v>
      </c>
      <c r="F27">
        <v>17064</v>
      </c>
      <c r="G27" t="s">
        <v>25</v>
      </c>
      <c r="H27" t="str">
        <f>INDEX([1]CUSTOMER_DATA!B:B, MATCH(B27, [1]CUSTOMER_DATA!A:A, 0))</f>
        <v>Corporate</v>
      </c>
      <c r="I27" t="str">
        <f>IFERROR(
    INDEX([1]CUSTOMER_DATA!C:C, MATCH(B27, [1]CUSTOMER_DATA!A:A, 0)),
    "Unknown"
)</f>
        <v>Mumbai</v>
      </c>
      <c r="J27" t="str">
        <f>IF(F27&gt;=20000,"high",IF(F27&gt;15000,"medium","low"))</f>
        <v>medium</v>
      </c>
      <c r="K27" s="10">
        <f>IF(J28="high",0.1,IF(J28="medium",0.07,0.05))</f>
        <v>0.05</v>
      </c>
      <c r="L27" s="9">
        <f>PRODUCT(F27:K27)</f>
        <v>853.2</v>
      </c>
    </row>
    <row r="28" spans="1:12" x14ac:dyDescent="0.35">
      <c r="A28">
        <v>127</v>
      </c>
      <c r="B28" t="s">
        <v>36</v>
      </c>
      <c r="C28" t="s">
        <v>23</v>
      </c>
      <c r="D28" t="s">
        <v>30</v>
      </c>
      <c r="E28">
        <v>44926</v>
      </c>
      <c r="F28">
        <v>12546</v>
      </c>
      <c r="G28" t="s">
        <v>19</v>
      </c>
      <c r="H28" t="str">
        <f>INDEX([1]CUSTOMER_DATA!B:B, MATCH(B28, [1]CUSTOMER_DATA!A:A, 0))</f>
        <v>Retail</v>
      </c>
      <c r="I28" t="str">
        <f>IFERROR(
    INDEX([1]CUSTOMER_DATA!C:C, MATCH(B28, [1]CUSTOMER_DATA!A:A, 0)),
    "Unknown"
)</f>
        <v>Hyderabad</v>
      </c>
      <c r="J28" t="str">
        <f>IF(F28&gt;=20000,"high",IF(F28&gt;15000,"medium","low"))</f>
        <v>low</v>
      </c>
      <c r="K28" s="10">
        <f>IF(J29="high",0.1,IF(J29="medium",0.07,0.05))</f>
        <v>0.05</v>
      </c>
      <c r="L28" s="9">
        <f>PRODUCT(F28:K28)</f>
        <v>627.30000000000007</v>
      </c>
    </row>
    <row r="29" spans="1:12" x14ac:dyDescent="0.35">
      <c r="A29">
        <v>128</v>
      </c>
      <c r="B29" t="s">
        <v>35</v>
      </c>
      <c r="C29" t="s">
        <v>23</v>
      </c>
      <c r="D29" t="s">
        <v>20</v>
      </c>
      <c r="E29">
        <v>44686</v>
      </c>
      <c r="F29">
        <v>12480</v>
      </c>
      <c r="G29" t="s">
        <v>25</v>
      </c>
      <c r="H29" t="str">
        <f>INDEX([1]CUSTOMER_DATA!B:B, MATCH(B29, [1]CUSTOMER_DATA!A:A, 0))</f>
        <v>Corporate</v>
      </c>
      <c r="I29" t="str">
        <f>IFERROR(
    INDEX([1]CUSTOMER_DATA!C:C, MATCH(B29, [1]CUSTOMER_DATA!A:A, 0)),
    "Unknown"
)</f>
        <v>Bangalore</v>
      </c>
      <c r="J29" t="str">
        <f>IF(F29&gt;=20000,"high",IF(F29&gt;15000,"medium","low"))</f>
        <v>low</v>
      </c>
      <c r="K29" s="10">
        <f>IF(J30="high",0.1,IF(J30="medium",0.07,0.05))</f>
        <v>0.05</v>
      </c>
      <c r="L29" s="9">
        <f>PRODUCT(F29:K29)</f>
        <v>624</v>
      </c>
    </row>
    <row r="30" spans="1:12" x14ac:dyDescent="0.35">
      <c r="A30">
        <v>129</v>
      </c>
      <c r="B30" t="s">
        <v>32</v>
      </c>
      <c r="C30" t="s">
        <v>17</v>
      </c>
      <c r="D30" t="s">
        <v>26</v>
      </c>
      <c r="E30">
        <v>44641</v>
      </c>
      <c r="F30">
        <v>10699</v>
      </c>
      <c r="G30" t="s">
        <v>29</v>
      </c>
      <c r="H30" t="str">
        <f>INDEX([1]CUSTOMER_DATA!B:B, MATCH(B30, [1]CUSTOMER_DATA!A:A, 0))</f>
        <v>Retail</v>
      </c>
      <c r="I30" t="str">
        <f>IFERROR(
    INDEX([1]CUSTOMER_DATA!C:C, MATCH(B30, [1]CUSTOMER_DATA!A:A, 0)),
    "Unknown"
)</f>
        <v>Delhi</v>
      </c>
      <c r="J30" t="str">
        <f>IF(F30&gt;=20000,"high",IF(F30&gt;15000,"medium","low"))</f>
        <v>low</v>
      </c>
      <c r="K30" s="10">
        <f>IF(J31="high",0.1,IF(J31="medium",0.07,0.05))</f>
        <v>0.05</v>
      </c>
      <c r="L30" s="9">
        <f>PRODUCT(F30:K30)</f>
        <v>534.95000000000005</v>
      </c>
    </row>
    <row r="31" spans="1:12" x14ac:dyDescent="0.35">
      <c r="A31">
        <v>130</v>
      </c>
      <c r="B31" t="s">
        <v>27</v>
      </c>
      <c r="C31" t="s">
        <v>21</v>
      </c>
      <c r="D31" t="s">
        <v>26</v>
      </c>
      <c r="E31">
        <v>45504</v>
      </c>
      <c r="F31">
        <v>10960</v>
      </c>
      <c r="G31" t="s">
        <v>25</v>
      </c>
      <c r="H31" t="str">
        <f>INDEX([1]CUSTOMER_DATA!B:B, MATCH(B31, [1]CUSTOMER_DATA!A:A, 0))</f>
        <v>Corporate</v>
      </c>
      <c r="I31" t="str">
        <f>IFERROR(
    INDEX([1]CUSTOMER_DATA!C:C, MATCH(B31, [1]CUSTOMER_DATA!A:A, 0)),
    "Unknown"
)</f>
        <v>Mumbai</v>
      </c>
      <c r="J31" t="str">
        <f>IF(F31&gt;=20000,"high",IF(F31&gt;15000,"medium","low"))</f>
        <v>low</v>
      </c>
      <c r="K31" s="10">
        <f>IF(J32="high",0.1,IF(J32="medium",0.07,0.05))</f>
        <v>0.1</v>
      </c>
      <c r="L31" s="9">
        <f>PRODUCT(F31:K31)</f>
        <v>1096</v>
      </c>
    </row>
    <row r="32" spans="1:12" x14ac:dyDescent="0.35">
      <c r="A32">
        <v>131</v>
      </c>
      <c r="B32" t="s">
        <v>34</v>
      </c>
      <c r="C32" t="s">
        <v>23</v>
      </c>
      <c r="D32" t="s">
        <v>16</v>
      </c>
      <c r="E32">
        <v>44483</v>
      </c>
      <c r="F32">
        <v>20000</v>
      </c>
      <c r="G32" t="s">
        <v>19</v>
      </c>
      <c r="H32" t="str">
        <f>INDEX([1]CUSTOMER_DATA!B:B, MATCH(B32, [1]CUSTOMER_DATA!A:A, 0))</f>
        <v>SMB</v>
      </c>
      <c r="I32" t="str">
        <f>IFERROR(
    INDEX([1]CUSTOMER_DATA!C:C, MATCH(B32, [1]CUSTOMER_DATA!A:A, 0)),
    "Unknown"
)</f>
        <v>Jaipur</v>
      </c>
      <c r="J32" t="str">
        <f>IF(F32&gt;=20000,"high",IF(F32&gt;15000,"medium","low"))</f>
        <v>high</v>
      </c>
      <c r="K32" s="10">
        <f>IF(J33="high",0.1,IF(J33="medium",0.07,0.05))</f>
        <v>0.05</v>
      </c>
      <c r="L32" s="9">
        <f>PRODUCT(F32:K32)</f>
        <v>1000</v>
      </c>
    </row>
    <row r="33" spans="1:12" x14ac:dyDescent="0.35">
      <c r="A33">
        <v>132</v>
      </c>
      <c r="B33" t="s">
        <v>32</v>
      </c>
      <c r="C33" t="s">
        <v>17</v>
      </c>
      <c r="D33" t="s">
        <v>30</v>
      </c>
      <c r="E33">
        <v>44333</v>
      </c>
      <c r="F33">
        <v>11654</v>
      </c>
      <c r="G33" t="s">
        <v>19</v>
      </c>
      <c r="H33" t="str">
        <f>INDEX([1]CUSTOMER_DATA!B:B, MATCH(B33, [1]CUSTOMER_DATA!A:A, 0))</f>
        <v>Retail</v>
      </c>
      <c r="I33" t="str">
        <f>IFERROR(
    INDEX([1]CUSTOMER_DATA!C:C, MATCH(B33, [1]CUSTOMER_DATA!A:A, 0)),
    "Unknown"
)</f>
        <v>Delhi</v>
      </c>
      <c r="J33" t="str">
        <f>IF(F33&gt;=20000,"high",IF(F33&gt;15000,"medium","low"))</f>
        <v>low</v>
      </c>
      <c r="K33" s="10">
        <f>IF(J34="high",0.1,IF(J34="medium",0.07,0.05))</f>
        <v>0.05</v>
      </c>
      <c r="L33" s="9">
        <f>PRODUCT(F33:K33)</f>
        <v>582.70000000000005</v>
      </c>
    </row>
    <row r="34" spans="1:12" x14ac:dyDescent="0.35">
      <c r="A34">
        <v>133</v>
      </c>
      <c r="B34" t="s">
        <v>32</v>
      </c>
      <c r="C34" t="s">
        <v>31</v>
      </c>
      <c r="D34" t="s">
        <v>16</v>
      </c>
      <c r="E34">
        <v>44955</v>
      </c>
      <c r="F34">
        <v>13498</v>
      </c>
      <c r="G34" t="s">
        <v>19</v>
      </c>
      <c r="H34" t="str">
        <f>INDEX([1]CUSTOMER_DATA!B:B, MATCH(B34, [1]CUSTOMER_DATA!A:A, 0))</f>
        <v>Retail</v>
      </c>
      <c r="I34" t="str">
        <f>IFERROR(
    INDEX([1]CUSTOMER_DATA!C:C, MATCH(B34, [1]CUSTOMER_DATA!A:A, 0)),
    "Unknown"
)</f>
        <v>Delhi</v>
      </c>
      <c r="J34" t="str">
        <f>IF(F34&gt;=20000,"high",IF(F34&gt;15000,"medium","low"))</f>
        <v>low</v>
      </c>
      <c r="K34" s="10">
        <f>IF(J35="high",0.1,IF(J35="medium",0.07,0.05))</f>
        <v>7.0000000000000007E-2</v>
      </c>
      <c r="L34" s="9">
        <f>PRODUCT(F34:K34)</f>
        <v>944.86000000000013</v>
      </c>
    </row>
    <row r="35" spans="1:12" x14ac:dyDescent="0.35">
      <c r="A35">
        <v>134</v>
      </c>
      <c r="B35" t="s">
        <v>27</v>
      </c>
      <c r="C35" t="s">
        <v>21</v>
      </c>
      <c r="D35" t="s">
        <v>16</v>
      </c>
      <c r="E35">
        <v>46110</v>
      </c>
      <c r="F35">
        <v>18665</v>
      </c>
      <c r="G35" t="s">
        <v>19</v>
      </c>
      <c r="H35" t="str">
        <f>INDEX([1]CUSTOMER_DATA!B:B, MATCH(B35, [1]CUSTOMER_DATA!A:A, 0))</f>
        <v>Corporate</v>
      </c>
      <c r="I35" t="str">
        <f>IFERROR(
    INDEX([1]CUSTOMER_DATA!C:C, MATCH(B35, [1]CUSTOMER_DATA!A:A, 0)),
    "Unknown"
)</f>
        <v>Mumbai</v>
      </c>
      <c r="J35" t="str">
        <f>IF(F35&gt;=20000,"high",IF(F35&gt;15000,"medium","low"))</f>
        <v>medium</v>
      </c>
      <c r="K35" s="10">
        <f>IF(J36="high",0.1,IF(J36="medium",0.07,0.05))</f>
        <v>0.1</v>
      </c>
      <c r="L35" s="9">
        <f>PRODUCT(F35:K35)</f>
        <v>1866.5</v>
      </c>
    </row>
    <row r="36" spans="1:12" x14ac:dyDescent="0.35">
      <c r="A36">
        <v>135</v>
      </c>
      <c r="B36" t="s">
        <v>33</v>
      </c>
      <c r="C36" t="s">
        <v>31</v>
      </c>
      <c r="D36" t="s">
        <v>16</v>
      </c>
      <c r="E36">
        <v>45925</v>
      </c>
      <c r="F36">
        <v>20000</v>
      </c>
      <c r="G36" t="s">
        <v>15</v>
      </c>
      <c r="H36" t="str">
        <f>INDEX([1]CUSTOMER_DATA!B:B, MATCH(B36, [1]CUSTOMER_DATA!A:A, 0))</f>
        <v>Corporate</v>
      </c>
      <c r="I36" t="str">
        <f>IFERROR(
    INDEX([1]CUSTOMER_DATA!C:C, MATCH(B36, [1]CUSTOMER_DATA!A:A, 0)),
    "Unknown"
)</f>
        <v>Surat</v>
      </c>
      <c r="J36" t="str">
        <f>IF(F36&gt;=20000,"high",IF(F36&gt;15000,"medium","low"))</f>
        <v>high</v>
      </c>
      <c r="K36" s="10">
        <f>IF(J37="high",0.1,IF(J37="medium",0.07,0.05))</f>
        <v>7.0000000000000007E-2</v>
      </c>
      <c r="L36" s="9">
        <f>PRODUCT(F36:K36)</f>
        <v>1400.0000000000002</v>
      </c>
    </row>
    <row r="37" spans="1:12" x14ac:dyDescent="0.35">
      <c r="A37">
        <v>136</v>
      </c>
      <c r="B37" t="s">
        <v>27</v>
      </c>
      <c r="C37" t="s">
        <v>31</v>
      </c>
      <c r="D37" t="s">
        <v>16</v>
      </c>
      <c r="E37">
        <v>44504</v>
      </c>
      <c r="F37">
        <v>15341</v>
      </c>
      <c r="G37" t="s">
        <v>15</v>
      </c>
      <c r="H37" t="str">
        <f>INDEX([1]CUSTOMER_DATA!B:B, MATCH(B37, [1]CUSTOMER_DATA!A:A, 0))</f>
        <v>Corporate</v>
      </c>
      <c r="I37" t="str">
        <f>IFERROR(
    INDEX([1]CUSTOMER_DATA!C:C, MATCH(B37, [1]CUSTOMER_DATA!A:A, 0)),
    "Unknown"
)</f>
        <v>Mumbai</v>
      </c>
      <c r="J37" t="str">
        <f>IF(F37&gt;=20000,"high",IF(F37&gt;15000,"medium","low"))</f>
        <v>medium</v>
      </c>
      <c r="K37" s="10">
        <f>IF(J38="high",0.1,IF(J38="medium",0.07,0.05))</f>
        <v>0.05</v>
      </c>
      <c r="L37" s="9">
        <f>PRODUCT(F37:K37)</f>
        <v>767.05000000000007</v>
      </c>
    </row>
    <row r="38" spans="1:12" x14ac:dyDescent="0.35">
      <c r="A38">
        <v>137</v>
      </c>
      <c r="B38" t="s">
        <v>27</v>
      </c>
      <c r="C38" t="s">
        <v>21</v>
      </c>
      <c r="D38" t="s">
        <v>20</v>
      </c>
      <c r="E38">
        <v>45967</v>
      </c>
      <c r="F38">
        <v>11012</v>
      </c>
      <c r="G38" t="s">
        <v>15</v>
      </c>
      <c r="H38" t="str">
        <f>INDEX([1]CUSTOMER_DATA!B:B, MATCH(B38, [1]CUSTOMER_DATA!A:A, 0))</f>
        <v>Corporate</v>
      </c>
      <c r="I38" t="str">
        <f>IFERROR(
    INDEX([1]CUSTOMER_DATA!C:C, MATCH(B38, [1]CUSTOMER_DATA!A:A, 0)),
    "Unknown"
)</f>
        <v>Mumbai</v>
      </c>
      <c r="J38" t="str">
        <f>IF(F38&gt;=20000,"high",IF(F38&gt;15000,"medium","low"))</f>
        <v>low</v>
      </c>
      <c r="K38" s="10">
        <f>IF(J39="high",0.1,IF(J39="medium",0.07,0.05))</f>
        <v>0.05</v>
      </c>
      <c r="L38" s="9">
        <f>PRODUCT(F38:K38)</f>
        <v>550.6</v>
      </c>
    </row>
    <row r="39" spans="1:12" x14ac:dyDescent="0.35">
      <c r="A39">
        <v>138</v>
      </c>
      <c r="B39" t="s">
        <v>32</v>
      </c>
      <c r="C39" t="s">
        <v>31</v>
      </c>
      <c r="D39" t="s">
        <v>30</v>
      </c>
      <c r="E39">
        <v>45486</v>
      </c>
      <c r="F39">
        <v>12378</v>
      </c>
      <c r="G39" t="s">
        <v>29</v>
      </c>
      <c r="H39" t="str">
        <f>INDEX([1]CUSTOMER_DATA!B:B, MATCH(B39, [1]CUSTOMER_DATA!A:A, 0))</f>
        <v>Retail</v>
      </c>
      <c r="I39" t="str">
        <f>IFERROR(
    INDEX([1]CUSTOMER_DATA!C:C, MATCH(B39, [1]CUSTOMER_DATA!A:A, 0)),
    "Unknown"
)</f>
        <v>Delhi</v>
      </c>
      <c r="J39" t="str">
        <f>IF(F39&gt;=20000,"high",IF(F39&gt;15000,"medium","low"))</f>
        <v>low</v>
      </c>
      <c r="K39" s="10">
        <f>IF(J40="high",0.1,IF(J40="medium",0.07,0.05))</f>
        <v>0.05</v>
      </c>
      <c r="L39" s="9">
        <f>PRODUCT(F39:K39)</f>
        <v>618.90000000000009</v>
      </c>
    </row>
    <row r="40" spans="1:12" x14ac:dyDescent="0.35">
      <c r="A40">
        <v>139</v>
      </c>
      <c r="B40" t="s">
        <v>28</v>
      </c>
      <c r="C40" t="s">
        <v>17</v>
      </c>
      <c r="D40" t="s">
        <v>16</v>
      </c>
      <c r="E40">
        <v>45024</v>
      </c>
      <c r="F40">
        <v>14439</v>
      </c>
      <c r="G40" t="s">
        <v>19</v>
      </c>
      <c r="H40" t="str">
        <f>INDEX([1]CUSTOMER_DATA!B:B, MATCH(B40, [1]CUSTOMER_DATA!A:A, 0))</f>
        <v>SMB</v>
      </c>
      <c r="I40" t="str">
        <f>IFERROR(
    INDEX([1]CUSTOMER_DATA!C:C, MATCH(B40, [1]CUSTOMER_DATA!A:A, 0)),
    "Unknown"
)</f>
        <v>Chennai</v>
      </c>
      <c r="J40" t="str">
        <f>IF(F40&gt;=20000,"high",IF(F40&gt;15000,"medium","low"))</f>
        <v>low</v>
      </c>
      <c r="K40" s="10">
        <f>IF(J41="high",0.1,IF(J41="medium",0.07,0.05))</f>
        <v>0.1</v>
      </c>
      <c r="L40" s="9">
        <f>PRODUCT(F40:K40)</f>
        <v>1443.9</v>
      </c>
    </row>
    <row r="41" spans="1:12" x14ac:dyDescent="0.35">
      <c r="A41">
        <v>140</v>
      </c>
      <c r="B41" t="s">
        <v>27</v>
      </c>
      <c r="C41" t="s">
        <v>23</v>
      </c>
      <c r="D41" t="s">
        <v>26</v>
      </c>
      <c r="E41">
        <v>44357</v>
      </c>
      <c r="F41">
        <v>20000</v>
      </c>
      <c r="G41" t="s">
        <v>25</v>
      </c>
      <c r="H41" t="str">
        <f>INDEX([1]CUSTOMER_DATA!B:B, MATCH(B41, [1]CUSTOMER_DATA!A:A, 0))</f>
        <v>Corporate</v>
      </c>
      <c r="I41" t="str">
        <f>IFERROR(
    INDEX([1]CUSTOMER_DATA!C:C, MATCH(B41, [1]CUSTOMER_DATA!A:A, 0)),
    "Unknown"
)</f>
        <v>Mumbai</v>
      </c>
      <c r="J41" t="str">
        <f>IF(F41&gt;=20000,"high",IF(F41&gt;15000,"medium","low"))</f>
        <v>high</v>
      </c>
      <c r="K41" s="10">
        <f>IF(J42="high",0.1,IF(J42="medium",0.07,0.05))</f>
        <v>7.0000000000000007E-2</v>
      </c>
      <c r="L41" s="9">
        <f>PRODUCT(F41:K41)</f>
        <v>1400.0000000000002</v>
      </c>
    </row>
    <row r="42" spans="1:12" x14ac:dyDescent="0.35">
      <c r="A42">
        <v>141</v>
      </c>
      <c r="B42" t="s">
        <v>24</v>
      </c>
      <c r="C42" t="s">
        <v>23</v>
      </c>
      <c r="D42" t="s">
        <v>20</v>
      </c>
      <c r="E42">
        <v>43958</v>
      </c>
      <c r="F42">
        <v>19524</v>
      </c>
      <c r="G42" t="s">
        <v>15</v>
      </c>
      <c r="H42" t="str">
        <f>INDEX([1]CUSTOMER_DATA!B:B, MATCH(B42, [1]CUSTOMER_DATA!A:A, 0))</f>
        <v>Corporate</v>
      </c>
      <c r="I42" t="str">
        <f>IFERROR(
    INDEX([1]CUSTOMER_DATA!C:C, MATCH(B42, [1]CUSTOMER_DATA!A:A, 0)),
    "Unknown"
)</f>
        <v>Ahmedabad</v>
      </c>
      <c r="J42" t="str">
        <f>IF(F42&gt;=20000,"high",IF(F42&gt;15000,"medium","low"))</f>
        <v>medium</v>
      </c>
      <c r="K42" s="10">
        <f>IF(J43="high",0.1,IF(J43="medium",0.07,0.05))</f>
        <v>7.0000000000000007E-2</v>
      </c>
      <c r="L42" s="9">
        <f>PRODUCT(F42:K42)</f>
        <v>1366.68</v>
      </c>
    </row>
    <row r="43" spans="1:12" x14ac:dyDescent="0.35">
      <c r="A43">
        <v>142</v>
      </c>
      <c r="B43" t="s">
        <v>22</v>
      </c>
      <c r="C43" t="s">
        <v>21</v>
      </c>
      <c r="D43" t="s">
        <v>20</v>
      </c>
      <c r="E43">
        <v>45546</v>
      </c>
      <c r="F43">
        <v>15459</v>
      </c>
      <c r="G43" t="s">
        <v>19</v>
      </c>
      <c r="H43" t="str">
        <f>INDEX([1]CUSTOMER_DATA!B:B, MATCH(B43, [1]CUSTOMER_DATA!A:A, 0))</f>
        <v>Retail</v>
      </c>
      <c r="I43" t="str">
        <f>IFERROR(
    INDEX([1]CUSTOMER_DATA!C:C, MATCH(B43, [1]CUSTOMER_DATA!A:A, 0)),
    "Unknown"
)</f>
        <v>Kolkata</v>
      </c>
      <c r="J43" t="str">
        <f>IF(F43&gt;=20000,"high",IF(F43&gt;15000,"medium","low"))</f>
        <v>medium</v>
      </c>
      <c r="K43" s="10">
        <f>IF(J44="high",0.1,IF(J44="medium",0.07,0.05))</f>
        <v>7.0000000000000007E-2</v>
      </c>
      <c r="L43" s="9">
        <f>PRODUCT(F43:K43)</f>
        <v>1082.1300000000001</v>
      </c>
    </row>
    <row r="44" spans="1:12" x14ac:dyDescent="0.35">
      <c r="A44">
        <v>143</v>
      </c>
      <c r="B44" t="s">
        <v>18</v>
      </c>
      <c r="C44" t="s">
        <v>17</v>
      </c>
      <c r="D44" t="s">
        <v>16</v>
      </c>
      <c r="E44">
        <v>44035</v>
      </c>
      <c r="F44">
        <v>15496</v>
      </c>
      <c r="G44" t="s">
        <v>29</v>
      </c>
      <c r="H44" t="str">
        <f>INDEX([1]CUSTOMER_DATA!B:B, MATCH(B44, [1]CUSTOMER_DATA!A:A, 0))</f>
        <v>SMB</v>
      </c>
      <c r="I44" t="str">
        <f>IFERROR(
    INDEX([1]CUSTOMER_DATA!C:C, MATCH(B44, [1]CUSTOMER_DATA!A:A, 0)),
    "Unknown"
)</f>
        <v>Pune</v>
      </c>
      <c r="J44" t="str">
        <f>IF(F44&gt;=20000,"high",IF(F44&gt;15000,"medium","low"))</f>
        <v>medium</v>
      </c>
      <c r="K44" s="10">
        <f>IF(J45="high",0.1,IF(J45="medium",0.07,0.05))</f>
        <v>7.0000000000000007E-2</v>
      </c>
      <c r="L44" s="9">
        <f>PRODUCT(F44:K44)</f>
        <v>1084.72</v>
      </c>
    </row>
    <row r="45" spans="1:12" x14ac:dyDescent="0.35">
      <c r="A45">
        <v>144</v>
      </c>
      <c r="B45" t="s">
        <v>27</v>
      </c>
      <c r="C45" t="s">
        <v>31</v>
      </c>
      <c r="D45" t="s">
        <v>30</v>
      </c>
      <c r="E45">
        <v>45410</v>
      </c>
      <c r="F45">
        <v>17064</v>
      </c>
      <c r="G45" t="s">
        <v>25</v>
      </c>
      <c r="H45" t="str">
        <f>INDEX([1]CUSTOMER_DATA!B:B, MATCH(B45, [1]CUSTOMER_DATA!A:A, 0))</f>
        <v>Corporate</v>
      </c>
      <c r="I45" t="str">
        <f>IFERROR(
    INDEX([1]CUSTOMER_DATA!C:C, MATCH(B45, [1]CUSTOMER_DATA!A:A, 0)),
    "Unknown"
)</f>
        <v>Mumbai</v>
      </c>
      <c r="J45" t="str">
        <f>IF(F45&gt;=20000,"high",IF(F45&gt;15000,"medium","low"))</f>
        <v>medium</v>
      </c>
      <c r="K45" s="10">
        <f>IF(J46="high",0.1,IF(J46="medium",0.07,0.05))</f>
        <v>0.05</v>
      </c>
      <c r="L45" s="9">
        <f>PRODUCT(F45:K45)</f>
        <v>853.2</v>
      </c>
    </row>
    <row r="46" spans="1:12" x14ac:dyDescent="0.35">
      <c r="A46">
        <v>145</v>
      </c>
      <c r="B46" t="s">
        <v>36</v>
      </c>
      <c r="C46" t="s">
        <v>23</v>
      </c>
      <c r="D46" t="s">
        <v>30</v>
      </c>
      <c r="E46">
        <v>44926</v>
      </c>
      <c r="F46">
        <v>12546</v>
      </c>
      <c r="G46" t="s">
        <v>19</v>
      </c>
      <c r="H46" t="str">
        <f>INDEX([1]CUSTOMER_DATA!B:B, MATCH(B46, [1]CUSTOMER_DATA!A:A, 0))</f>
        <v>Retail</v>
      </c>
      <c r="I46" t="str">
        <f>IFERROR(
    INDEX([1]CUSTOMER_DATA!C:C, MATCH(B46, [1]CUSTOMER_DATA!A:A, 0)),
    "Unknown"
)</f>
        <v>Hyderabad</v>
      </c>
      <c r="J46" t="str">
        <f>IF(F46&gt;=20000,"high",IF(F46&gt;15000,"medium","low"))</f>
        <v>low</v>
      </c>
      <c r="K46" s="10">
        <f>IF(J47="high",0.1,IF(J47="medium",0.07,0.05))</f>
        <v>0.05</v>
      </c>
      <c r="L46" s="9">
        <f>PRODUCT(F46:K46)</f>
        <v>627.30000000000007</v>
      </c>
    </row>
    <row r="47" spans="1:12" x14ac:dyDescent="0.35">
      <c r="A47">
        <v>146</v>
      </c>
      <c r="B47" t="s">
        <v>35</v>
      </c>
      <c r="C47" t="s">
        <v>23</v>
      </c>
      <c r="D47" t="s">
        <v>20</v>
      </c>
      <c r="E47">
        <v>44686</v>
      </c>
      <c r="F47">
        <v>12480</v>
      </c>
      <c r="G47" t="s">
        <v>25</v>
      </c>
      <c r="H47" t="str">
        <f>INDEX([1]CUSTOMER_DATA!B:B, MATCH(B47, [1]CUSTOMER_DATA!A:A, 0))</f>
        <v>Corporate</v>
      </c>
      <c r="I47" t="str">
        <f>IFERROR(
    INDEX([1]CUSTOMER_DATA!C:C, MATCH(B47, [1]CUSTOMER_DATA!A:A, 0)),
    "Unknown"
)</f>
        <v>Bangalore</v>
      </c>
      <c r="J47" t="str">
        <f>IF(F47&gt;=20000,"high",IF(F47&gt;15000,"medium","low"))</f>
        <v>low</v>
      </c>
      <c r="K47" s="10">
        <f>IF(J48="high",0.1,IF(J48="medium",0.07,0.05))</f>
        <v>0.05</v>
      </c>
      <c r="L47" s="9">
        <f>PRODUCT(F47:K47)</f>
        <v>624</v>
      </c>
    </row>
    <row r="48" spans="1:12" x14ac:dyDescent="0.35">
      <c r="A48">
        <v>147</v>
      </c>
      <c r="B48" t="s">
        <v>32</v>
      </c>
      <c r="C48" t="s">
        <v>17</v>
      </c>
      <c r="D48" t="s">
        <v>26</v>
      </c>
      <c r="E48">
        <v>44641</v>
      </c>
      <c r="F48">
        <v>10699</v>
      </c>
      <c r="G48" t="s">
        <v>29</v>
      </c>
      <c r="H48" t="str">
        <f>INDEX([1]CUSTOMER_DATA!B:B, MATCH(B48, [1]CUSTOMER_DATA!A:A, 0))</f>
        <v>Retail</v>
      </c>
      <c r="I48" t="str">
        <f>IFERROR(
    INDEX([1]CUSTOMER_DATA!C:C, MATCH(B48, [1]CUSTOMER_DATA!A:A, 0)),
    "Unknown"
)</f>
        <v>Delhi</v>
      </c>
      <c r="J48" t="str">
        <f>IF(F48&gt;=20000,"high",IF(F48&gt;15000,"medium","low"))</f>
        <v>low</v>
      </c>
      <c r="K48" s="10">
        <f>IF(J49="high",0.1,IF(J49="medium",0.07,0.05))</f>
        <v>0.05</v>
      </c>
      <c r="L48" s="9">
        <f>PRODUCT(F48:K48)</f>
        <v>534.95000000000005</v>
      </c>
    </row>
    <row r="49" spans="1:12" x14ac:dyDescent="0.35">
      <c r="A49">
        <v>148</v>
      </c>
      <c r="B49" t="s">
        <v>27</v>
      </c>
      <c r="C49" t="s">
        <v>21</v>
      </c>
      <c r="D49" t="s">
        <v>26</v>
      </c>
      <c r="E49">
        <v>45504</v>
      </c>
      <c r="F49">
        <v>10960</v>
      </c>
      <c r="G49" t="s">
        <v>25</v>
      </c>
      <c r="H49" t="str">
        <f>INDEX([1]CUSTOMER_DATA!B:B, MATCH(B49, [1]CUSTOMER_DATA!A:A, 0))</f>
        <v>Corporate</v>
      </c>
      <c r="I49" t="str">
        <f>IFERROR(
    INDEX([1]CUSTOMER_DATA!C:C, MATCH(B49, [1]CUSTOMER_DATA!A:A, 0)),
    "Unknown"
)</f>
        <v>Mumbai</v>
      </c>
      <c r="J49" t="str">
        <f>IF(F49&gt;=20000,"high",IF(F49&gt;15000,"medium","low"))</f>
        <v>low</v>
      </c>
      <c r="K49" s="10">
        <f>IF(J50="high",0.1,IF(J50="medium",0.07,0.05))</f>
        <v>0.1</v>
      </c>
      <c r="L49" s="9">
        <f>PRODUCT(F49:K49)</f>
        <v>1096</v>
      </c>
    </row>
    <row r="50" spans="1:12" x14ac:dyDescent="0.35">
      <c r="A50">
        <v>149</v>
      </c>
      <c r="B50" t="s">
        <v>34</v>
      </c>
      <c r="C50" t="s">
        <v>23</v>
      </c>
      <c r="D50" t="s">
        <v>16</v>
      </c>
      <c r="E50">
        <v>44483</v>
      </c>
      <c r="F50">
        <v>20000</v>
      </c>
      <c r="G50" t="s">
        <v>19</v>
      </c>
      <c r="H50" t="str">
        <f>INDEX([1]CUSTOMER_DATA!B:B, MATCH(B50, [1]CUSTOMER_DATA!A:A, 0))</f>
        <v>SMB</v>
      </c>
      <c r="I50" t="str">
        <f>IFERROR(
    INDEX([1]CUSTOMER_DATA!C:C, MATCH(B50, [1]CUSTOMER_DATA!A:A, 0)),
    "Unknown"
)</f>
        <v>Jaipur</v>
      </c>
      <c r="J50" t="str">
        <f>IF(F50&gt;=20000,"high",IF(F50&gt;15000,"medium","low"))</f>
        <v>high</v>
      </c>
      <c r="K50" s="10">
        <f>IF(J51="high",0.1,IF(J51="medium",0.07,0.05))</f>
        <v>0.05</v>
      </c>
      <c r="L50" s="9">
        <f>PRODUCT(F50:K50)</f>
        <v>1000</v>
      </c>
    </row>
    <row r="51" spans="1:12" x14ac:dyDescent="0.35">
      <c r="A51">
        <v>150</v>
      </c>
      <c r="B51" t="s">
        <v>32</v>
      </c>
      <c r="C51" t="s">
        <v>17</v>
      </c>
      <c r="D51" t="s">
        <v>30</v>
      </c>
      <c r="E51">
        <v>44333</v>
      </c>
      <c r="F51">
        <v>11654</v>
      </c>
      <c r="G51" t="s">
        <v>19</v>
      </c>
      <c r="H51" t="str">
        <f>INDEX([1]CUSTOMER_DATA!B:B, MATCH(B51, [1]CUSTOMER_DATA!A:A, 0))</f>
        <v>Retail</v>
      </c>
      <c r="I51" t="str">
        <f>IFERROR(
    INDEX([1]CUSTOMER_DATA!C:C, MATCH(B51, [1]CUSTOMER_DATA!A:A, 0)),
    "Unknown"
)</f>
        <v>Delhi</v>
      </c>
      <c r="J51" t="str">
        <f>IF(F51&gt;=20000,"high",IF(F51&gt;15000,"medium","low"))</f>
        <v>low</v>
      </c>
      <c r="K51" s="10">
        <f>IF(J52="high",0.1,IF(J52="medium",0.07,0.05))</f>
        <v>0.05</v>
      </c>
      <c r="L51" s="9">
        <f>PRODUCT(F51:K51)</f>
        <v>582.70000000000005</v>
      </c>
    </row>
    <row r="52" spans="1:12" x14ac:dyDescent="0.35">
      <c r="A52">
        <v>151</v>
      </c>
      <c r="B52" t="s">
        <v>32</v>
      </c>
      <c r="C52" t="s">
        <v>31</v>
      </c>
      <c r="D52" t="s">
        <v>16</v>
      </c>
      <c r="E52">
        <v>44955</v>
      </c>
      <c r="F52">
        <v>13498</v>
      </c>
      <c r="G52" t="s">
        <v>19</v>
      </c>
      <c r="H52" t="str">
        <f>INDEX([1]CUSTOMER_DATA!B:B, MATCH(B52, [1]CUSTOMER_DATA!A:A, 0))</f>
        <v>Retail</v>
      </c>
      <c r="I52" t="str">
        <f>IFERROR(
    INDEX([1]CUSTOMER_DATA!C:C, MATCH(B52, [1]CUSTOMER_DATA!A:A, 0)),
    "Unknown"
)</f>
        <v>Delhi</v>
      </c>
      <c r="J52" t="str">
        <f>IF(F52&gt;=20000,"high",IF(F52&gt;15000,"medium","low"))</f>
        <v>low</v>
      </c>
      <c r="K52" s="10">
        <f>IF(J53="high",0.1,IF(J53="medium",0.07,0.05))</f>
        <v>7.0000000000000007E-2</v>
      </c>
      <c r="L52" s="9">
        <f>PRODUCT(F52:K52)</f>
        <v>944.86000000000013</v>
      </c>
    </row>
    <row r="53" spans="1:12" x14ac:dyDescent="0.35">
      <c r="A53">
        <v>152</v>
      </c>
      <c r="B53" t="s">
        <v>27</v>
      </c>
      <c r="C53" t="s">
        <v>21</v>
      </c>
      <c r="D53" t="s">
        <v>16</v>
      </c>
      <c r="E53">
        <v>46110</v>
      </c>
      <c r="F53">
        <v>18665</v>
      </c>
      <c r="G53" t="s">
        <v>19</v>
      </c>
      <c r="H53" t="str">
        <f>INDEX([1]CUSTOMER_DATA!B:B, MATCH(B53, [1]CUSTOMER_DATA!A:A, 0))</f>
        <v>Corporate</v>
      </c>
      <c r="I53" t="str">
        <f>IFERROR(
    INDEX([1]CUSTOMER_DATA!C:C, MATCH(B53, [1]CUSTOMER_DATA!A:A, 0)),
    "Unknown"
)</f>
        <v>Mumbai</v>
      </c>
      <c r="J53" t="str">
        <f>IF(F53&gt;=20000,"high",IF(F53&gt;15000,"medium","low"))</f>
        <v>medium</v>
      </c>
      <c r="K53" s="10">
        <f>IF(J54="high",0.1,IF(J54="medium",0.07,0.05))</f>
        <v>0.1</v>
      </c>
      <c r="L53" s="9">
        <f>PRODUCT(F53:K53)</f>
        <v>1866.5</v>
      </c>
    </row>
    <row r="54" spans="1:12" x14ac:dyDescent="0.35">
      <c r="A54">
        <v>153</v>
      </c>
      <c r="B54" t="s">
        <v>33</v>
      </c>
      <c r="C54" t="s">
        <v>31</v>
      </c>
      <c r="D54" t="s">
        <v>16</v>
      </c>
      <c r="E54">
        <v>45925</v>
      </c>
      <c r="F54">
        <v>20000</v>
      </c>
      <c r="G54" t="s">
        <v>15</v>
      </c>
      <c r="H54" t="str">
        <f>INDEX([1]CUSTOMER_DATA!B:B, MATCH(B54, [1]CUSTOMER_DATA!A:A, 0))</f>
        <v>Corporate</v>
      </c>
      <c r="I54" t="str">
        <f>IFERROR(
    INDEX([1]CUSTOMER_DATA!C:C, MATCH(B54, [1]CUSTOMER_DATA!A:A, 0)),
    "Unknown"
)</f>
        <v>Surat</v>
      </c>
      <c r="J54" t="str">
        <f>IF(F54&gt;=20000,"high",IF(F54&gt;15000,"medium","low"))</f>
        <v>high</v>
      </c>
      <c r="K54" s="10">
        <f>IF(J55="high",0.1,IF(J55="medium",0.07,0.05))</f>
        <v>7.0000000000000007E-2</v>
      </c>
      <c r="L54" s="9">
        <f>PRODUCT(F54:K54)</f>
        <v>1400.0000000000002</v>
      </c>
    </row>
    <row r="55" spans="1:12" x14ac:dyDescent="0.35">
      <c r="A55">
        <v>154</v>
      </c>
      <c r="B55" t="s">
        <v>27</v>
      </c>
      <c r="C55" t="s">
        <v>31</v>
      </c>
      <c r="D55" t="s">
        <v>16</v>
      </c>
      <c r="E55">
        <v>44504</v>
      </c>
      <c r="F55">
        <v>15341</v>
      </c>
      <c r="G55" t="s">
        <v>15</v>
      </c>
      <c r="H55" t="str">
        <f>INDEX([1]CUSTOMER_DATA!B:B, MATCH(B55, [1]CUSTOMER_DATA!A:A, 0))</f>
        <v>Corporate</v>
      </c>
      <c r="I55" t="str">
        <f>IFERROR(
    INDEX([1]CUSTOMER_DATA!C:C, MATCH(B55, [1]CUSTOMER_DATA!A:A, 0)),
    "Unknown"
)</f>
        <v>Mumbai</v>
      </c>
      <c r="J55" t="str">
        <f>IF(F55&gt;=20000,"high",IF(F55&gt;15000,"medium","low"))</f>
        <v>medium</v>
      </c>
      <c r="K55" s="10">
        <f>IF(J56="high",0.1,IF(J56="medium",0.07,0.05))</f>
        <v>0.05</v>
      </c>
      <c r="L55" s="9">
        <f>PRODUCT(F55:K55)</f>
        <v>767.05000000000007</v>
      </c>
    </row>
    <row r="56" spans="1:12" x14ac:dyDescent="0.35">
      <c r="A56">
        <v>155</v>
      </c>
      <c r="B56" t="s">
        <v>27</v>
      </c>
      <c r="C56" t="s">
        <v>21</v>
      </c>
      <c r="D56" t="s">
        <v>20</v>
      </c>
      <c r="E56">
        <v>45967</v>
      </c>
      <c r="F56">
        <v>11012</v>
      </c>
      <c r="G56" t="s">
        <v>15</v>
      </c>
      <c r="H56" t="str">
        <f>INDEX([1]CUSTOMER_DATA!B:B, MATCH(B56, [1]CUSTOMER_DATA!A:A, 0))</f>
        <v>Corporate</v>
      </c>
      <c r="I56" t="str">
        <f>IFERROR(
    INDEX([1]CUSTOMER_DATA!C:C, MATCH(B56, [1]CUSTOMER_DATA!A:A, 0)),
    "Unknown"
)</f>
        <v>Mumbai</v>
      </c>
      <c r="J56" t="str">
        <f>IF(F56&gt;=20000,"high",IF(F56&gt;15000,"medium","low"))</f>
        <v>low</v>
      </c>
      <c r="K56" s="10">
        <f>IF(J57="high",0.1,IF(J57="medium",0.07,0.05))</f>
        <v>0.05</v>
      </c>
      <c r="L56" s="9">
        <f>PRODUCT(F56:K56)</f>
        <v>550.6</v>
      </c>
    </row>
    <row r="57" spans="1:12" x14ac:dyDescent="0.35">
      <c r="A57">
        <v>156</v>
      </c>
      <c r="B57" t="s">
        <v>32</v>
      </c>
      <c r="C57" t="s">
        <v>31</v>
      </c>
      <c r="D57" t="s">
        <v>30</v>
      </c>
      <c r="E57">
        <v>45486</v>
      </c>
      <c r="F57">
        <v>12378</v>
      </c>
      <c r="G57" t="s">
        <v>29</v>
      </c>
      <c r="H57" t="str">
        <f>INDEX([1]CUSTOMER_DATA!B:B, MATCH(B57, [1]CUSTOMER_DATA!A:A, 0))</f>
        <v>Retail</v>
      </c>
      <c r="I57" t="str">
        <f>IFERROR(
    INDEX([1]CUSTOMER_DATA!C:C, MATCH(B57, [1]CUSTOMER_DATA!A:A, 0)),
    "Unknown"
)</f>
        <v>Delhi</v>
      </c>
      <c r="J57" t="str">
        <f>IF(F57&gt;=20000,"high",IF(F57&gt;15000,"medium","low"))</f>
        <v>low</v>
      </c>
      <c r="K57" s="10">
        <f>IF(J58="high",0.1,IF(J58="medium",0.07,0.05))</f>
        <v>0.05</v>
      </c>
      <c r="L57" s="9">
        <f>PRODUCT(F57:K57)</f>
        <v>618.90000000000009</v>
      </c>
    </row>
    <row r="58" spans="1:12" x14ac:dyDescent="0.35">
      <c r="A58">
        <v>157</v>
      </c>
      <c r="B58" t="s">
        <v>28</v>
      </c>
      <c r="C58" t="s">
        <v>17</v>
      </c>
      <c r="D58" t="s">
        <v>16</v>
      </c>
      <c r="E58">
        <v>45024</v>
      </c>
      <c r="F58">
        <v>14439</v>
      </c>
      <c r="G58" t="s">
        <v>19</v>
      </c>
      <c r="H58" t="str">
        <f>INDEX([1]CUSTOMER_DATA!B:B, MATCH(B58, [1]CUSTOMER_DATA!A:A, 0))</f>
        <v>SMB</v>
      </c>
      <c r="I58" t="str">
        <f>IFERROR(
    INDEX([1]CUSTOMER_DATA!C:C, MATCH(B58, [1]CUSTOMER_DATA!A:A, 0)),
    "Unknown"
)</f>
        <v>Chennai</v>
      </c>
      <c r="J58" t="str">
        <f>IF(F58&gt;=20000,"high",IF(F58&gt;15000,"medium","low"))</f>
        <v>low</v>
      </c>
      <c r="K58" s="10">
        <f>IF(J59="high",0.1,IF(J59="medium",0.07,0.05))</f>
        <v>0.1</v>
      </c>
      <c r="L58" s="9">
        <f>PRODUCT(F58:K58)</f>
        <v>1443.9</v>
      </c>
    </row>
    <row r="59" spans="1:12" x14ac:dyDescent="0.35">
      <c r="A59">
        <v>158</v>
      </c>
      <c r="B59" t="s">
        <v>27</v>
      </c>
      <c r="C59" t="s">
        <v>23</v>
      </c>
      <c r="D59" t="s">
        <v>26</v>
      </c>
      <c r="E59">
        <v>44357</v>
      </c>
      <c r="F59">
        <v>20000</v>
      </c>
      <c r="G59" t="s">
        <v>25</v>
      </c>
      <c r="H59" t="str">
        <f>INDEX([1]CUSTOMER_DATA!B:B, MATCH(B59, [1]CUSTOMER_DATA!A:A, 0))</f>
        <v>Corporate</v>
      </c>
      <c r="I59" t="str">
        <f>IFERROR(
    INDEX([1]CUSTOMER_DATA!C:C, MATCH(B59, [1]CUSTOMER_DATA!A:A, 0)),
    "Unknown"
)</f>
        <v>Mumbai</v>
      </c>
      <c r="J59" t="str">
        <f>IF(F59&gt;=20000,"high",IF(F59&gt;15000,"medium","low"))</f>
        <v>high</v>
      </c>
      <c r="K59" s="10">
        <f>IF(J60="high",0.1,IF(J60="medium",0.07,0.05))</f>
        <v>7.0000000000000007E-2</v>
      </c>
      <c r="L59" s="9">
        <f>PRODUCT(F59:K59)</f>
        <v>1400.0000000000002</v>
      </c>
    </row>
    <row r="60" spans="1:12" x14ac:dyDescent="0.35">
      <c r="A60">
        <v>159</v>
      </c>
      <c r="B60" t="s">
        <v>24</v>
      </c>
      <c r="C60" t="s">
        <v>23</v>
      </c>
      <c r="D60" t="s">
        <v>20</v>
      </c>
      <c r="E60">
        <v>43958</v>
      </c>
      <c r="F60">
        <v>19524</v>
      </c>
      <c r="G60" t="s">
        <v>15</v>
      </c>
      <c r="H60" t="str">
        <f>INDEX([1]CUSTOMER_DATA!B:B, MATCH(B60, [1]CUSTOMER_DATA!A:A, 0))</f>
        <v>Corporate</v>
      </c>
      <c r="I60" t="str">
        <f>IFERROR(
    INDEX([1]CUSTOMER_DATA!C:C, MATCH(B60, [1]CUSTOMER_DATA!A:A, 0)),
    "Unknown"
)</f>
        <v>Ahmedabad</v>
      </c>
      <c r="J60" t="str">
        <f>IF(F60&gt;=20000,"high",IF(F60&gt;15000,"medium","low"))</f>
        <v>medium</v>
      </c>
      <c r="K60" s="10">
        <f>IF(J61="high",0.1,IF(J61="medium",0.07,0.05))</f>
        <v>7.0000000000000007E-2</v>
      </c>
      <c r="L60" s="9">
        <f>PRODUCT(F60:K60)</f>
        <v>1366.68</v>
      </c>
    </row>
    <row r="61" spans="1:12" x14ac:dyDescent="0.35">
      <c r="A61">
        <v>160</v>
      </c>
      <c r="B61" t="s">
        <v>22</v>
      </c>
      <c r="C61" t="s">
        <v>21</v>
      </c>
      <c r="D61" t="s">
        <v>20</v>
      </c>
      <c r="E61">
        <v>45546</v>
      </c>
      <c r="F61">
        <v>15459</v>
      </c>
      <c r="G61" t="s">
        <v>19</v>
      </c>
      <c r="H61" t="str">
        <f>INDEX([1]CUSTOMER_DATA!B:B, MATCH(B61, [1]CUSTOMER_DATA!A:A, 0))</f>
        <v>Retail</v>
      </c>
      <c r="I61" t="str">
        <f>IFERROR(
    INDEX([1]CUSTOMER_DATA!C:C, MATCH(B61, [1]CUSTOMER_DATA!A:A, 0)),
    "Unknown"
)</f>
        <v>Kolkata</v>
      </c>
      <c r="J61" t="str">
        <f>IF(F61&gt;=20000,"high",IF(F61&gt;15000,"medium","low"))</f>
        <v>medium</v>
      </c>
      <c r="K61" s="10">
        <f>IF(J62="high",0.1,IF(J62="medium",0.07,0.05))</f>
        <v>7.0000000000000007E-2</v>
      </c>
      <c r="L61" s="9">
        <f>PRODUCT(F61:K61)</f>
        <v>1082.1300000000001</v>
      </c>
    </row>
    <row r="62" spans="1:12" x14ac:dyDescent="0.35">
      <c r="A62">
        <v>161</v>
      </c>
      <c r="B62" t="s">
        <v>18</v>
      </c>
      <c r="C62" t="s">
        <v>17</v>
      </c>
      <c r="D62" t="s">
        <v>16</v>
      </c>
      <c r="E62">
        <v>44035</v>
      </c>
      <c r="F62">
        <v>15496</v>
      </c>
      <c r="G62" t="s">
        <v>29</v>
      </c>
      <c r="H62" t="str">
        <f>INDEX([1]CUSTOMER_DATA!B:B, MATCH(B62, [1]CUSTOMER_DATA!A:A, 0))</f>
        <v>SMB</v>
      </c>
      <c r="I62" t="str">
        <f>IFERROR(
    INDEX([1]CUSTOMER_DATA!C:C, MATCH(B62, [1]CUSTOMER_DATA!A:A, 0)),
    "Unknown"
)</f>
        <v>Pune</v>
      </c>
      <c r="J62" t="str">
        <f>IF(F62&gt;=20000,"high",IF(F62&gt;15000,"medium","low"))</f>
        <v>medium</v>
      </c>
      <c r="K62" s="10">
        <f>IF(J63="high",0.1,IF(J63="medium",0.07,0.05))</f>
        <v>7.0000000000000007E-2</v>
      </c>
      <c r="L62" s="9">
        <f>PRODUCT(F62:K62)</f>
        <v>1084.72</v>
      </c>
    </row>
    <row r="63" spans="1:12" x14ac:dyDescent="0.35">
      <c r="A63">
        <v>162</v>
      </c>
      <c r="B63" t="s">
        <v>27</v>
      </c>
      <c r="C63" t="s">
        <v>31</v>
      </c>
      <c r="D63" t="s">
        <v>30</v>
      </c>
      <c r="E63">
        <v>45410</v>
      </c>
      <c r="F63">
        <v>17064</v>
      </c>
      <c r="G63" t="s">
        <v>25</v>
      </c>
      <c r="H63" t="str">
        <f>INDEX([1]CUSTOMER_DATA!B:B, MATCH(B63, [1]CUSTOMER_DATA!A:A, 0))</f>
        <v>Corporate</v>
      </c>
      <c r="I63" t="str">
        <f>IFERROR(
    INDEX([1]CUSTOMER_DATA!C:C, MATCH(B63, [1]CUSTOMER_DATA!A:A, 0)),
    "Unknown"
)</f>
        <v>Mumbai</v>
      </c>
      <c r="J63" t="str">
        <f>IF(F63&gt;=20000,"high",IF(F63&gt;15000,"medium","low"))</f>
        <v>medium</v>
      </c>
      <c r="K63" s="10">
        <f>IF(J64="high",0.1,IF(J64="medium",0.07,0.05))</f>
        <v>0.05</v>
      </c>
      <c r="L63" s="9">
        <f>PRODUCT(F63:K63)</f>
        <v>853.2</v>
      </c>
    </row>
    <row r="64" spans="1:12" x14ac:dyDescent="0.35">
      <c r="A64">
        <v>163</v>
      </c>
      <c r="B64" t="s">
        <v>36</v>
      </c>
      <c r="C64" t="s">
        <v>23</v>
      </c>
      <c r="D64" t="s">
        <v>30</v>
      </c>
      <c r="E64">
        <v>44926</v>
      </c>
      <c r="F64">
        <v>12546</v>
      </c>
      <c r="G64" t="s">
        <v>19</v>
      </c>
      <c r="H64" t="str">
        <f>INDEX([1]CUSTOMER_DATA!B:B, MATCH(B64, [1]CUSTOMER_DATA!A:A, 0))</f>
        <v>Retail</v>
      </c>
      <c r="I64" t="str">
        <f>IFERROR(
    INDEX([1]CUSTOMER_DATA!C:C, MATCH(B64, [1]CUSTOMER_DATA!A:A, 0)),
    "Unknown"
)</f>
        <v>Hyderabad</v>
      </c>
      <c r="J64" t="str">
        <f>IF(F64&gt;=20000,"high",IF(F64&gt;15000,"medium","low"))</f>
        <v>low</v>
      </c>
      <c r="K64" s="10">
        <f>IF(J65="high",0.1,IF(J65="medium",0.07,0.05))</f>
        <v>0.05</v>
      </c>
      <c r="L64" s="9">
        <f>PRODUCT(F64:K64)</f>
        <v>627.30000000000007</v>
      </c>
    </row>
    <row r="65" spans="1:12" x14ac:dyDescent="0.35">
      <c r="A65">
        <v>164</v>
      </c>
      <c r="B65" t="s">
        <v>35</v>
      </c>
      <c r="C65" t="s">
        <v>23</v>
      </c>
      <c r="D65" t="s">
        <v>20</v>
      </c>
      <c r="E65">
        <v>44686</v>
      </c>
      <c r="F65">
        <v>12480</v>
      </c>
      <c r="G65" t="s">
        <v>25</v>
      </c>
      <c r="H65" t="str">
        <f>INDEX([1]CUSTOMER_DATA!B:B, MATCH(B65, [1]CUSTOMER_DATA!A:A, 0))</f>
        <v>Corporate</v>
      </c>
      <c r="I65" t="str">
        <f>IFERROR(
    INDEX([1]CUSTOMER_DATA!C:C, MATCH(B65, [1]CUSTOMER_DATA!A:A, 0)),
    "Unknown"
)</f>
        <v>Bangalore</v>
      </c>
      <c r="J65" t="str">
        <f>IF(F65&gt;=20000,"high",IF(F65&gt;15000,"medium","low"))</f>
        <v>low</v>
      </c>
      <c r="K65" s="10">
        <f>IF(J66="high",0.1,IF(J66="medium",0.07,0.05))</f>
        <v>0.05</v>
      </c>
      <c r="L65" s="9">
        <f>PRODUCT(F65:K65)</f>
        <v>624</v>
      </c>
    </row>
    <row r="66" spans="1:12" x14ac:dyDescent="0.35">
      <c r="A66">
        <v>165</v>
      </c>
      <c r="B66" t="s">
        <v>32</v>
      </c>
      <c r="C66" t="s">
        <v>17</v>
      </c>
      <c r="D66" t="s">
        <v>26</v>
      </c>
      <c r="E66">
        <v>44641</v>
      </c>
      <c r="F66">
        <v>10699</v>
      </c>
      <c r="G66" t="s">
        <v>29</v>
      </c>
      <c r="H66" t="str">
        <f>INDEX([1]CUSTOMER_DATA!B:B, MATCH(B66, [1]CUSTOMER_DATA!A:A, 0))</f>
        <v>Retail</v>
      </c>
      <c r="I66" t="str">
        <f>IFERROR(
    INDEX([1]CUSTOMER_DATA!C:C, MATCH(B66, [1]CUSTOMER_DATA!A:A, 0)),
    "Unknown"
)</f>
        <v>Delhi</v>
      </c>
      <c r="J66" t="str">
        <f>IF(F66&gt;=20000,"high",IF(F66&gt;15000,"medium","low"))</f>
        <v>low</v>
      </c>
      <c r="K66" s="10">
        <f>IF(J67="high",0.1,IF(J67="medium",0.07,0.05))</f>
        <v>0.05</v>
      </c>
      <c r="L66" s="9">
        <f>PRODUCT(F66:K66)</f>
        <v>534.95000000000005</v>
      </c>
    </row>
    <row r="67" spans="1:12" x14ac:dyDescent="0.35">
      <c r="A67">
        <v>166</v>
      </c>
      <c r="B67" t="s">
        <v>27</v>
      </c>
      <c r="C67" t="s">
        <v>21</v>
      </c>
      <c r="D67" t="s">
        <v>26</v>
      </c>
      <c r="E67">
        <v>45504</v>
      </c>
      <c r="F67">
        <v>10960</v>
      </c>
      <c r="G67" t="s">
        <v>25</v>
      </c>
      <c r="H67" t="str">
        <f>INDEX([1]CUSTOMER_DATA!B:B, MATCH(B67, [1]CUSTOMER_DATA!A:A, 0))</f>
        <v>Corporate</v>
      </c>
      <c r="I67" t="str">
        <f>IFERROR(
    INDEX([1]CUSTOMER_DATA!C:C, MATCH(B67, [1]CUSTOMER_DATA!A:A, 0)),
    "Unknown"
)</f>
        <v>Mumbai</v>
      </c>
      <c r="J67" t="str">
        <f>IF(F67&gt;=20000,"high",IF(F67&gt;15000,"medium","low"))</f>
        <v>low</v>
      </c>
      <c r="K67" s="10">
        <f>IF(J68="high",0.1,IF(J68="medium",0.07,0.05))</f>
        <v>0.1</v>
      </c>
      <c r="L67" s="9">
        <f>PRODUCT(F67:K67)</f>
        <v>1096</v>
      </c>
    </row>
    <row r="68" spans="1:12" x14ac:dyDescent="0.35">
      <c r="A68">
        <v>167</v>
      </c>
      <c r="B68" t="s">
        <v>34</v>
      </c>
      <c r="C68" t="s">
        <v>23</v>
      </c>
      <c r="D68" t="s">
        <v>16</v>
      </c>
      <c r="E68">
        <v>44483</v>
      </c>
      <c r="F68">
        <v>20000</v>
      </c>
      <c r="G68" t="s">
        <v>19</v>
      </c>
      <c r="H68" t="str">
        <f>INDEX([1]CUSTOMER_DATA!B:B, MATCH(B68, [1]CUSTOMER_DATA!A:A, 0))</f>
        <v>SMB</v>
      </c>
      <c r="I68" t="str">
        <f>IFERROR(
    INDEX([1]CUSTOMER_DATA!C:C, MATCH(B68, [1]CUSTOMER_DATA!A:A, 0)),
    "Unknown"
)</f>
        <v>Jaipur</v>
      </c>
      <c r="J68" t="str">
        <f>IF(F68&gt;=20000,"high",IF(F68&gt;15000,"medium","low"))</f>
        <v>high</v>
      </c>
      <c r="K68" s="10">
        <f>IF(J69="high",0.1,IF(J69="medium",0.07,0.05))</f>
        <v>0.05</v>
      </c>
      <c r="L68" s="9">
        <f>PRODUCT(F68:K68)</f>
        <v>1000</v>
      </c>
    </row>
    <row r="69" spans="1:12" x14ac:dyDescent="0.35">
      <c r="A69">
        <v>168</v>
      </c>
      <c r="B69" t="s">
        <v>32</v>
      </c>
      <c r="C69" t="s">
        <v>17</v>
      </c>
      <c r="D69" t="s">
        <v>30</v>
      </c>
      <c r="E69">
        <v>44333</v>
      </c>
      <c r="F69">
        <v>11654</v>
      </c>
      <c r="G69" t="s">
        <v>19</v>
      </c>
      <c r="H69" t="str">
        <f>INDEX([1]CUSTOMER_DATA!B:B, MATCH(B69, [1]CUSTOMER_DATA!A:A, 0))</f>
        <v>Retail</v>
      </c>
      <c r="I69" t="str">
        <f>IFERROR(
    INDEX([1]CUSTOMER_DATA!C:C, MATCH(B69, [1]CUSTOMER_DATA!A:A, 0)),
    "Unknown"
)</f>
        <v>Delhi</v>
      </c>
      <c r="J69" t="str">
        <f>IF(F69&gt;=20000,"high",IF(F69&gt;15000,"medium","low"))</f>
        <v>low</v>
      </c>
      <c r="K69" s="10">
        <f>IF(J70="high",0.1,IF(J70="medium",0.07,0.05))</f>
        <v>0.05</v>
      </c>
      <c r="L69" s="9">
        <f>PRODUCT(F69:K69)</f>
        <v>582.70000000000005</v>
      </c>
    </row>
    <row r="70" spans="1:12" x14ac:dyDescent="0.35">
      <c r="A70">
        <v>169</v>
      </c>
      <c r="B70" t="s">
        <v>32</v>
      </c>
      <c r="C70" t="s">
        <v>31</v>
      </c>
      <c r="D70" t="s">
        <v>16</v>
      </c>
      <c r="E70">
        <v>44955</v>
      </c>
      <c r="F70">
        <v>13498</v>
      </c>
      <c r="G70" t="s">
        <v>19</v>
      </c>
      <c r="H70" t="str">
        <f>INDEX([1]CUSTOMER_DATA!B:B, MATCH(B70, [1]CUSTOMER_DATA!A:A, 0))</f>
        <v>Retail</v>
      </c>
      <c r="I70" t="str">
        <f>IFERROR(
    INDEX([1]CUSTOMER_DATA!C:C, MATCH(B70, [1]CUSTOMER_DATA!A:A, 0)),
    "Unknown"
)</f>
        <v>Delhi</v>
      </c>
      <c r="J70" t="str">
        <f>IF(F70&gt;=20000,"high",IF(F70&gt;15000,"medium","low"))</f>
        <v>low</v>
      </c>
      <c r="K70" s="10">
        <f>IF(J71="high",0.1,IF(J71="medium",0.07,0.05))</f>
        <v>7.0000000000000007E-2</v>
      </c>
      <c r="L70" s="9">
        <f>PRODUCT(F70:K70)</f>
        <v>944.86000000000013</v>
      </c>
    </row>
    <row r="71" spans="1:12" x14ac:dyDescent="0.35">
      <c r="A71">
        <v>170</v>
      </c>
      <c r="B71" t="s">
        <v>27</v>
      </c>
      <c r="C71" t="s">
        <v>21</v>
      </c>
      <c r="D71" t="s">
        <v>16</v>
      </c>
      <c r="E71">
        <v>46110</v>
      </c>
      <c r="F71">
        <v>18665</v>
      </c>
      <c r="G71" t="s">
        <v>19</v>
      </c>
      <c r="H71" t="str">
        <f>INDEX([1]CUSTOMER_DATA!B:B, MATCH(B71, [1]CUSTOMER_DATA!A:A, 0))</f>
        <v>Corporate</v>
      </c>
      <c r="I71" t="str">
        <f>IFERROR(
    INDEX([1]CUSTOMER_DATA!C:C, MATCH(B71, [1]CUSTOMER_DATA!A:A, 0)),
    "Unknown"
)</f>
        <v>Mumbai</v>
      </c>
      <c r="J71" t="str">
        <f>IF(F71&gt;=20000,"high",IF(F71&gt;15000,"medium","low"))</f>
        <v>medium</v>
      </c>
      <c r="K71" s="10">
        <f>IF(J72="high",0.1,IF(J72="medium",0.07,0.05))</f>
        <v>0.1</v>
      </c>
      <c r="L71" s="9">
        <f>PRODUCT(F71:K71)</f>
        <v>1866.5</v>
      </c>
    </row>
    <row r="72" spans="1:12" x14ac:dyDescent="0.35">
      <c r="A72">
        <v>171</v>
      </c>
      <c r="B72" t="s">
        <v>33</v>
      </c>
      <c r="C72" t="s">
        <v>31</v>
      </c>
      <c r="D72" t="s">
        <v>16</v>
      </c>
      <c r="E72">
        <v>45925</v>
      </c>
      <c r="F72">
        <v>20000</v>
      </c>
      <c r="G72" t="s">
        <v>15</v>
      </c>
      <c r="H72" t="str">
        <f>INDEX([1]CUSTOMER_DATA!B:B, MATCH(B72, [1]CUSTOMER_DATA!A:A, 0))</f>
        <v>Corporate</v>
      </c>
      <c r="I72" t="str">
        <f>IFERROR(
    INDEX([1]CUSTOMER_DATA!C:C, MATCH(B72, [1]CUSTOMER_DATA!A:A, 0)),
    "Unknown"
)</f>
        <v>Surat</v>
      </c>
      <c r="J72" t="str">
        <f>IF(F72&gt;=20000,"high",IF(F72&gt;15000,"medium","low"))</f>
        <v>high</v>
      </c>
      <c r="K72" s="10">
        <f>IF(J73="high",0.1,IF(J73="medium",0.07,0.05))</f>
        <v>7.0000000000000007E-2</v>
      </c>
      <c r="L72" s="9">
        <f>PRODUCT(F72:K72)</f>
        <v>1400.0000000000002</v>
      </c>
    </row>
    <row r="73" spans="1:12" x14ac:dyDescent="0.35">
      <c r="A73">
        <v>172</v>
      </c>
      <c r="B73" t="s">
        <v>27</v>
      </c>
      <c r="C73" t="s">
        <v>31</v>
      </c>
      <c r="D73" t="s">
        <v>16</v>
      </c>
      <c r="E73">
        <v>44504</v>
      </c>
      <c r="F73">
        <v>15341</v>
      </c>
      <c r="G73" t="s">
        <v>15</v>
      </c>
      <c r="H73" t="str">
        <f>INDEX([1]CUSTOMER_DATA!B:B, MATCH(B73, [1]CUSTOMER_DATA!A:A, 0))</f>
        <v>Corporate</v>
      </c>
      <c r="I73" t="str">
        <f>IFERROR(
    INDEX([1]CUSTOMER_DATA!C:C, MATCH(B73, [1]CUSTOMER_DATA!A:A, 0)),
    "Unknown"
)</f>
        <v>Mumbai</v>
      </c>
      <c r="J73" t="str">
        <f>IF(F73&gt;=20000,"high",IF(F73&gt;15000,"medium","low"))</f>
        <v>medium</v>
      </c>
      <c r="K73" s="10">
        <f>IF(J74="high",0.1,IF(J74="medium",0.07,0.05))</f>
        <v>0.05</v>
      </c>
      <c r="L73" s="9">
        <f>PRODUCT(F73:K73)</f>
        <v>767.05000000000007</v>
      </c>
    </row>
    <row r="74" spans="1:12" x14ac:dyDescent="0.35">
      <c r="A74">
        <v>173</v>
      </c>
      <c r="B74" t="s">
        <v>27</v>
      </c>
      <c r="C74" t="s">
        <v>21</v>
      </c>
      <c r="D74" t="s">
        <v>20</v>
      </c>
      <c r="E74">
        <v>45967</v>
      </c>
      <c r="F74">
        <v>11012</v>
      </c>
      <c r="G74" t="s">
        <v>15</v>
      </c>
      <c r="H74" t="str">
        <f>INDEX([1]CUSTOMER_DATA!B:B, MATCH(B74, [1]CUSTOMER_DATA!A:A, 0))</f>
        <v>Corporate</v>
      </c>
      <c r="I74" t="str">
        <f>IFERROR(
    INDEX([1]CUSTOMER_DATA!C:C, MATCH(B74, [1]CUSTOMER_DATA!A:A, 0)),
    "Unknown"
)</f>
        <v>Mumbai</v>
      </c>
      <c r="J74" t="str">
        <f>IF(F74&gt;=20000,"high",IF(F74&gt;15000,"medium","low"))</f>
        <v>low</v>
      </c>
      <c r="K74" s="10">
        <f>IF(J75="high",0.1,IF(J75="medium",0.07,0.05))</f>
        <v>0.05</v>
      </c>
      <c r="L74" s="9">
        <f>PRODUCT(F74:K74)</f>
        <v>550.6</v>
      </c>
    </row>
    <row r="75" spans="1:12" x14ac:dyDescent="0.35">
      <c r="A75">
        <v>174</v>
      </c>
      <c r="B75" t="s">
        <v>32</v>
      </c>
      <c r="C75" t="s">
        <v>31</v>
      </c>
      <c r="D75" t="s">
        <v>30</v>
      </c>
      <c r="E75">
        <v>45486</v>
      </c>
      <c r="F75">
        <v>12378</v>
      </c>
      <c r="G75" t="s">
        <v>29</v>
      </c>
      <c r="H75" t="str">
        <f>INDEX([1]CUSTOMER_DATA!B:B, MATCH(B75, [1]CUSTOMER_DATA!A:A, 0))</f>
        <v>Retail</v>
      </c>
      <c r="I75" t="str">
        <f>IFERROR(
    INDEX([1]CUSTOMER_DATA!C:C, MATCH(B75, [1]CUSTOMER_DATA!A:A, 0)),
    "Unknown"
)</f>
        <v>Delhi</v>
      </c>
      <c r="J75" t="str">
        <f>IF(F75&gt;=20000,"high",IF(F75&gt;15000,"medium","low"))</f>
        <v>low</v>
      </c>
      <c r="K75" s="10">
        <f>IF(J76="high",0.1,IF(J76="medium",0.07,0.05))</f>
        <v>0.05</v>
      </c>
      <c r="L75" s="9">
        <f>PRODUCT(F75:K75)</f>
        <v>618.90000000000009</v>
      </c>
    </row>
    <row r="76" spans="1:12" x14ac:dyDescent="0.35">
      <c r="A76">
        <v>175</v>
      </c>
      <c r="B76" t="s">
        <v>28</v>
      </c>
      <c r="C76" t="s">
        <v>17</v>
      </c>
      <c r="D76" t="s">
        <v>16</v>
      </c>
      <c r="E76">
        <v>45024</v>
      </c>
      <c r="F76">
        <v>14439</v>
      </c>
      <c r="G76" t="s">
        <v>19</v>
      </c>
      <c r="H76" t="str">
        <f>INDEX([1]CUSTOMER_DATA!B:B, MATCH(B76, [1]CUSTOMER_DATA!A:A, 0))</f>
        <v>SMB</v>
      </c>
      <c r="I76" t="str">
        <f>IFERROR(
    INDEX([1]CUSTOMER_DATA!C:C, MATCH(B76, [1]CUSTOMER_DATA!A:A, 0)),
    "Unknown"
)</f>
        <v>Chennai</v>
      </c>
      <c r="J76" t="str">
        <f>IF(F76&gt;=20000,"high",IF(F76&gt;15000,"medium","low"))</f>
        <v>low</v>
      </c>
      <c r="K76" s="10">
        <f>IF(J77="high",0.1,IF(J77="medium",0.07,0.05))</f>
        <v>0.1</v>
      </c>
      <c r="L76" s="9">
        <f>PRODUCT(F76:K76)</f>
        <v>1443.9</v>
      </c>
    </row>
    <row r="77" spans="1:12" x14ac:dyDescent="0.35">
      <c r="A77">
        <v>176</v>
      </c>
      <c r="B77" t="s">
        <v>27</v>
      </c>
      <c r="C77" t="s">
        <v>23</v>
      </c>
      <c r="D77" t="s">
        <v>26</v>
      </c>
      <c r="E77">
        <v>44357</v>
      </c>
      <c r="F77">
        <v>20000</v>
      </c>
      <c r="G77" t="s">
        <v>25</v>
      </c>
      <c r="H77" t="str">
        <f>INDEX([1]CUSTOMER_DATA!B:B, MATCH(B77, [1]CUSTOMER_DATA!A:A, 0))</f>
        <v>Corporate</v>
      </c>
      <c r="I77" t="str">
        <f>IFERROR(
    INDEX([1]CUSTOMER_DATA!C:C, MATCH(B77, [1]CUSTOMER_DATA!A:A, 0)),
    "Unknown"
)</f>
        <v>Mumbai</v>
      </c>
      <c r="J77" t="str">
        <f>IF(F77&gt;=20000,"high",IF(F77&gt;15000,"medium","low"))</f>
        <v>high</v>
      </c>
      <c r="K77" s="10">
        <f>IF(J78="high",0.1,IF(J78="medium",0.07,0.05))</f>
        <v>7.0000000000000007E-2</v>
      </c>
      <c r="L77" s="9">
        <f>PRODUCT(F77:K77)</f>
        <v>1400.0000000000002</v>
      </c>
    </row>
    <row r="78" spans="1:12" x14ac:dyDescent="0.35">
      <c r="A78">
        <v>177</v>
      </c>
      <c r="B78" t="s">
        <v>24</v>
      </c>
      <c r="C78" t="s">
        <v>23</v>
      </c>
      <c r="D78" t="s">
        <v>20</v>
      </c>
      <c r="E78">
        <v>43958</v>
      </c>
      <c r="F78">
        <v>19524</v>
      </c>
      <c r="G78" t="s">
        <v>15</v>
      </c>
      <c r="H78" t="str">
        <f>INDEX([1]CUSTOMER_DATA!B:B, MATCH(B78, [1]CUSTOMER_DATA!A:A, 0))</f>
        <v>Corporate</v>
      </c>
      <c r="I78" t="str">
        <f>IFERROR(
    INDEX([1]CUSTOMER_DATA!C:C, MATCH(B78, [1]CUSTOMER_DATA!A:A, 0)),
    "Unknown"
)</f>
        <v>Ahmedabad</v>
      </c>
      <c r="J78" t="str">
        <f>IF(F78&gt;=20000,"high",IF(F78&gt;15000,"medium","low"))</f>
        <v>medium</v>
      </c>
      <c r="K78" s="10">
        <f>IF(J79="high",0.1,IF(J79="medium",0.07,0.05))</f>
        <v>7.0000000000000007E-2</v>
      </c>
      <c r="L78" s="9">
        <f>PRODUCT(F78:K78)</f>
        <v>1366.68</v>
      </c>
    </row>
    <row r="79" spans="1:12" x14ac:dyDescent="0.35">
      <c r="A79">
        <v>178</v>
      </c>
      <c r="B79" t="s">
        <v>22</v>
      </c>
      <c r="C79" t="s">
        <v>21</v>
      </c>
      <c r="D79" t="s">
        <v>20</v>
      </c>
      <c r="E79">
        <v>45546</v>
      </c>
      <c r="F79">
        <v>15459</v>
      </c>
      <c r="G79" t="s">
        <v>19</v>
      </c>
      <c r="H79" t="str">
        <f>INDEX([1]CUSTOMER_DATA!B:B, MATCH(B79, [1]CUSTOMER_DATA!A:A, 0))</f>
        <v>Retail</v>
      </c>
      <c r="I79" t="str">
        <f>IFERROR(
    INDEX([1]CUSTOMER_DATA!C:C, MATCH(B79, [1]CUSTOMER_DATA!A:A, 0)),
    "Unknown"
)</f>
        <v>Kolkata</v>
      </c>
      <c r="J79" t="str">
        <f>IF(F79&gt;=20000,"high",IF(F79&gt;15000,"medium","low"))</f>
        <v>medium</v>
      </c>
      <c r="K79" s="10">
        <f>IF(J80="high",0.1,IF(J80="medium",0.07,0.05))</f>
        <v>7.0000000000000007E-2</v>
      </c>
      <c r="L79" s="9">
        <f>PRODUCT(F79:K79)</f>
        <v>1082.1300000000001</v>
      </c>
    </row>
    <row r="80" spans="1:12" x14ac:dyDescent="0.35">
      <c r="A80">
        <v>179</v>
      </c>
      <c r="B80" t="s">
        <v>18</v>
      </c>
      <c r="C80" t="s">
        <v>17</v>
      </c>
      <c r="D80" t="s">
        <v>16</v>
      </c>
      <c r="E80">
        <v>44035</v>
      </c>
      <c r="F80">
        <v>15496</v>
      </c>
      <c r="G80" t="s">
        <v>29</v>
      </c>
      <c r="H80" t="str">
        <f>INDEX([1]CUSTOMER_DATA!B:B, MATCH(B80, [1]CUSTOMER_DATA!A:A, 0))</f>
        <v>SMB</v>
      </c>
      <c r="I80" t="str">
        <f>IFERROR(
    INDEX([1]CUSTOMER_DATA!C:C, MATCH(B80, [1]CUSTOMER_DATA!A:A, 0)),
    "Unknown"
)</f>
        <v>Pune</v>
      </c>
      <c r="J80" t="str">
        <f>IF(F80&gt;=20000,"high",IF(F80&gt;15000,"medium","low"))</f>
        <v>medium</v>
      </c>
      <c r="K80" s="10">
        <f>IF(J81="high",0.1,IF(J81="medium",0.07,0.05))</f>
        <v>7.0000000000000007E-2</v>
      </c>
      <c r="L80" s="9">
        <f>PRODUCT(F80:K80)</f>
        <v>1084.72</v>
      </c>
    </row>
    <row r="81" spans="1:12" x14ac:dyDescent="0.35">
      <c r="A81">
        <v>180</v>
      </c>
      <c r="B81" t="s">
        <v>27</v>
      </c>
      <c r="C81" t="s">
        <v>31</v>
      </c>
      <c r="D81" t="s">
        <v>30</v>
      </c>
      <c r="E81">
        <v>45410</v>
      </c>
      <c r="F81">
        <v>17064</v>
      </c>
      <c r="G81" t="s">
        <v>25</v>
      </c>
      <c r="H81" t="str">
        <f>INDEX([1]CUSTOMER_DATA!B:B, MATCH(B81, [1]CUSTOMER_DATA!A:A, 0))</f>
        <v>Corporate</v>
      </c>
      <c r="I81" t="str">
        <f>IFERROR(
    INDEX([1]CUSTOMER_DATA!C:C, MATCH(B81, [1]CUSTOMER_DATA!A:A, 0)),
    "Unknown"
)</f>
        <v>Mumbai</v>
      </c>
      <c r="J81" t="str">
        <f>IF(F81&gt;=20000,"high",IF(F81&gt;15000,"medium","low"))</f>
        <v>medium</v>
      </c>
      <c r="K81" s="10">
        <f>IF(J82="high",0.1,IF(J82="medium",0.07,0.05))</f>
        <v>0.05</v>
      </c>
      <c r="L81" s="9">
        <f>PRODUCT(F81:K81)</f>
        <v>853.2</v>
      </c>
    </row>
    <row r="82" spans="1:12" x14ac:dyDescent="0.35">
      <c r="A82">
        <v>181</v>
      </c>
      <c r="B82" t="s">
        <v>36</v>
      </c>
      <c r="C82" t="s">
        <v>23</v>
      </c>
      <c r="D82" t="s">
        <v>30</v>
      </c>
      <c r="E82">
        <v>44926</v>
      </c>
      <c r="F82">
        <v>12546</v>
      </c>
      <c r="G82" t="s">
        <v>19</v>
      </c>
      <c r="H82" t="str">
        <f>INDEX([1]CUSTOMER_DATA!B:B, MATCH(B82, [1]CUSTOMER_DATA!A:A, 0))</f>
        <v>Retail</v>
      </c>
      <c r="I82" t="str">
        <f>IFERROR(
    INDEX([1]CUSTOMER_DATA!C:C, MATCH(B82, [1]CUSTOMER_DATA!A:A, 0)),
    "Unknown"
)</f>
        <v>Hyderabad</v>
      </c>
      <c r="J82" t="str">
        <f>IF(F82&gt;=20000,"high",IF(F82&gt;15000,"medium","low"))</f>
        <v>low</v>
      </c>
      <c r="K82" s="10">
        <f>IF(J83="high",0.1,IF(J83="medium",0.07,0.05))</f>
        <v>0.05</v>
      </c>
      <c r="L82" s="9">
        <f>PRODUCT(F82:K82)</f>
        <v>627.30000000000007</v>
      </c>
    </row>
    <row r="83" spans="1:12" x14ac:dyDescent="0.35">
      <c r="A83">
        <v>182</v>
      </c>
      <c r="B83" t="s">
        <v>35</v>
      </c>
      <c r="C83" t="s">
        <v>23</v>
      </c>
      <c r="D83" t="s">
        <v>20</v>
      </c>
      <c r="E83">
        <v>44686</v>
      </c>
      <c r="F83">
        <v>12480</v>
      </c>
      <c r="G83" t="s">
        <v>25</v>
      </c>
      <c r="H83" t="str">
        <f>INDEX([1]CUSTOMER_DATA!B:B, MATCH(B83, [1]CUSTOMER_DATA!A:A, 0))</f>
        <v>Corporate</v>
      </c>
      <c r="I83" t="str">
        <f>IFERROR(
    INDEX([1]CUSTOMER_DATA!C:C, MATCH(B83, [1]CUSTOMER_DATA!A:A, 0)),
    "Unknown"
)</f>
        <v>Bangalore</v>
      </c>
      <c r="J83" t="str">
        <f>IF(F83&gt;=20000,"high",IF(F83&gt;15000,"medium","low"))</f>
        <v>low</v>
      </c>
      <c r="K83" s="10">
        <f>IF(J84="high",0.1,IF(J84="medium",0.07,0.05))</f>
        <v>0.05</v>
      </c>
      <c r="L83" s="9">
        <f>PRODUCT(F83:K83)</f>
        <v>624</v>
      </c>
    </row>
    <row r="84" spans="1:12" x14ac:dyDescent="0.35">
      <c r="A84">
        <v>183</v>
      </c>
      <c r="B84" t="s">
        <v>32</v>
      </c>
      <c r="C84" t="s">
        <v>17</v>
      </c>
      <c r="D84" t="s">
        <v>26</v>
      </c>
      <c r="E84">
        <v>44641</v>
      </c>
      <c r="F84">
        <v>10699</v>
      </c>
      <c r="G84" t="s">
        <v>29</v>
      </c>
      <c r="H84" t="str">
        <f>INDEX([1]CUSTOMER_DATA!B:B, MATCH(B84, [1]CUSTOMER_DATA!A:A, 0))</f>
        <v>Retail</v>
      </c>
      <c r="I84" t="str">
        <f>IFERROR(
    INDEX([1]CUSTOMER_DATA!C:C, MATCH(B84, [1]CUSTOMER_DATA!A:A, 0)),
    "Unknown"
)</f>
        <v>Delhi</v>
      </c>
      <c r="J84" t="str">
        <f>IF(F84&gt;=20000,"high",IF(F84&gt;15000,"medium","low"))</f>
        <v>low</v>
      </c>
      <c r="K84" s="10">
        <f>IF(J85="high",0.1,IF(J85="medium",0.07,0.05))</f>
        <v>0.05</v>
      </c>
      <c r="L84" s="9">
        <f>PRODUCT(F84:K84)</f>
        <v>534.95000000000005</v>
      </c>
    </row>
    <row r="85" spans="1:12" x14ac:dyDescent="0.35">
      <c r="A85">
        <v>184</v>
      </c>
      <c r="B85" t="s">
        <v>27</v>
      </c>
      <c r="C85" t="s">
        <v>21</v>
      </c>
      <c r="D85" t="s">
        <v>26</v>
      </c>
      <c r="E85">
        <v>45504</v>
      </c>
      <c r="F85">
        <v>10960</v>
      </c>
      <c r="G85" t="s">
        <v>25</v>
      </c>
      <c r="H85" t="str">
        <f>INDEX([1]CUSTOMER_DATA!B:B, MATCH(B85, [1]CUSTOMER_DATA!A:A, 0))</f>
        <v>Corporate</v>
      </c>
      <c r="I85" t="str">
        <f>IFERROR(
    INDEX([1]CUSTOMER_DATA!C:C, MATCH(B85, [1]CUSTOMER_DATA!A:A, 0)),
    "Unknown"
)</f>
        <v>Mumbai</v>
      </c>
      <c r="J85" t="str">
        <f>IF(F85&gt;=20000,"high",IF(F85&gt;15000,"medium","low"))</f>
        <v>low</v>
      </c>
      <c r="K85" s="10">
        <f>IF(J86="high",0.1,IF(J86="medium",0.07,0.05))</f>
        <v>0.1</v>
      </c>
      <c r="L85" s="9">
        <f>PRODUCT(F85:K85)</f>
        <v>1096</v>
      </c>
    </row>
    <row r="86" spans="1:12" x14ac:dyDescent="0.35">
      <c r="A86">
        <v>185</v>
      </c>
      <c r="B86" t="s">
        <v>34</v>
      </c>
      <c r="C86" t="s">
        <v>23</v>
      </c>
      <c r="D86" t="s">
        <v>16</v>
      </c>
      <c r="E86">
        <v>44483</v>
      </c>
      <c r="F86">
        <v>20000</v>
      </c>
      <c r="G86" t="s">
        <v>19</v>
      </c>
      <c r="H86" t="str">
        <f>INDEX([1]CUSTOMER_DATA!B:B, MATCH(B86, [1]CUSTOMER_DATA!A:A, 0))</f>
        <v>SMB</v>
      </c>
      <c r="I86" t="str">
        <f>IFERROR(
    INDEX([1]CUSTOMER_DATA!C:C, MATCH(B86, [1]CUSTOMER_DATA!A:A, 0)),
    "Unknown"
)</f>
        <v>Jaipur</v>
      </c>
      <c r="J86" t="str">
        <f>IF(F86&gt;=20000,"high",IF(F86&gt;15000,"medium","low"))</f>
        <v>high</v>
      </c>
      <c r="K86" s="10">
        <f>IF(J87="high",0.1,IF(J87="medium",0.07,0.05))</f>
        <v>0.05</v>
      </c>
      <c r="L86" s="9">
        <f>PRODUCT(F86:K86)</f>
        <v>1000</v>
      </c>
    </row>
    <row r="87" spans="1:12" x14ac:dyDescent="0.35">
      <c r="A87" t="s">
        <v>37</v>
      </c>
      <c r="B87" t="s">
        <v>32</v>
      </c>
      <c r="C87" t="s">
        <v>17</v>
      </c>
      <c r="D87" t="s">
        <v>30</v>
      </c>
      <c r="E87">
        <v>44333</v>
      </c>
      <c r="F87">
        <v>11654</v>
      </c>
      <c r="G87" t="s">
        <v>19</v>
      </c>
      <c r="H87" t="str">
        <f>INDEX([1]CUSTOMER_DATA!B:B, MATCH(B87, [1]CUSTOMER_DATA!A:A, 0))</f>
        <v>Retail</v>
      </c>
      <c r="I87" t="str">
        <f>IFERROR(
    INDEX([1]CUSTOMER_DATA!C:C, MATCH(B87, [1]CUSTOMER_DATA!A:A, 0)),
    "Unknown"
)</f>
        <v>Delhi</v>
      </c>
      <c r="J87" t="str">
        <f>IF(F87&gt;=20000,"high",IF(F87&gt;15000,"medium","low"))</f>
        <v>low</v>
      </c>
      <c r="K87" s="10">
        <f>IF(J88="high",0.1,IF(J88="medium",0.07,0.05))</f>
        <v>0.05</v>
      </c>
      <c r="L87" s="9">
        <f>PRODUCT(F87:K87)</f>
        <v>582.70000000000005</v>
      </c>
    </row>
    <row r="88" spans="1:12" x14ac:dyDescent="0.35">
      <c r="A88">
        <v>187</v>
      </c>
      <c r="B88" t="s">
        <v>32</v>
      </c>
      <c r="C88" t="s">
        <v>31</v>
      </c>
      <c r="D88" t="s">
        <v>16</v>
      </c>
      <c r="E88">
        <v>44955</v>
      </c>
      <c r="F88">
        <v>13498</v>
      </c>
      <c r="G88" t="s">
        <v>19</v>
      </c>
      <c r="H88" t="str">
        <f>INDEX([1]CUSTOMER_DATA!B:B, MATCH(B88, [1]CUSTOMER_DATA!A:A, 0))</f>
        <v>Retail</v>
      </c>
      <c r="I88" t="str">
        <f>IFERROR(
    INDEX([1]CUSTOMER_DATA!C:C, MATCH(B88, [1]CUSTOMER_DATA!A:A, 0)),
    "Unknown"
)</f>
        <v>Delhi</v>
      </c>
      <c r="J88" t="str">
        <f>IF(F88&gt;=20000,"high",IF(F88&gt;15000,"medium","low"))</f>
        <v>low</v>
      </c>
      <c r="K88" s="10">
        <f>IF(J89="high",0.1,IF(J89="medium",0.07,0.05))</f>
        <v>7.0000000000000007E-2</v>
      </c>
      <c r="L88" s="9">
        <f>PRODUCT(F88:K88)</f>
        <v>944.86000000000013</v>
      </c>
    </row>
    <row r="89" spans="1:12" x14ac:dyDescent="0.35">
      <c r="A89">
        <v>188</v>
      </c>
      <c r="B89" t="s">
        <v>27</v>
      </c>
      <c r="C89" t="s">
        <v>21</v>
      </c>
      <c r="D89" t="s">
        <v>16</v>
      </c>
      <c r="E89">
        <v>46110</v>
      </c>
      <c r="F89">
        <v>18665</v>
      </c>
      <c r="G89" t="s">
        <v>19</v>
      </c>
      <c r="H89" t="str">
        <f>INDEX([1]CUSTOMER_DATA!B:B, MATCH(B89, [1]CUSTOMER_DATA!A:A, 0))</f>
        <v>Corporate</v>
      </c>
      <c r="I89" t="str">
        <f>IFERROR(
    INDEX([1]CUSTOMER_DATA!C:C, MATCH(B89, [1]CUSTOMER_DATA!A:A, 0)),
    "Unknown"
)</f>
        <v>Mumbai</v>
      </c>
      <c r="J89" t="str">
        <f>IF(F89&gt;=20000,"high",IF(F89&gt;15000,"medium","low"))</f>
        <v>medium</v>
      </c>
      <c r="K89" s="10">
        <f>IF(J90="high",0.1,IF(J90="medium",0.07,0.05))</f>
        <v>0.1</v>
      </c>
      <c r="L89" s="9">
        <f>PRODUCT(F89:K89)</f>
        <v>1866.5</v>
      </c>
    </row>
    <row r="90" spans="1:12" x14ac:dyDescent="0.35">
      <c r="A90">
        <v>189</v>
      </c>
      <c r="B90" t="s">
        <v>33</v>
      </c>
      <c r="C90" t="s">
        <v>31</v>
      </c>
      <c r="D90" t="s">
        <v>16</v>
      </c>
      <c r="E90">
        <v>45925</v>
      </c>
      <c r="F90">
        <v>20000</v>
      </c>
      <c r="G90" t="s">
        <v>15</v>
      </c>
      <c r="H90" t="str">
        <f>INDEX([1]CUSTOMER_DATA!B:B, MATCH(B90, [1]CUSTOMER_DATA!A:A, 0))</f>
        <v>Corporate</v>
      </c>
      <c r="I90" t="str">
        <f>IFERROR(
    INDEX([1]CUSTOMER_DATA!C:C, MATCH(B90, [1]CUSTOMER_DATA!A:A, 0)),
    "Unknown"
)</f>
        <v>Surat</v>
      </c>
      <c r="J90" t="str">
        <f>IF(F90&gt;=20000,"high",IF(F90&gt;15000,"medium","low"))</f>
        <v>high</v>
      </c>
      <c r="K90" s="10">
        <f>IF(J91="high",0.1,IF(J91="medium",0.07,0.05))</f>
        <v>7.0000000000000007E-2</v>
      </c>
      <c r="L90" s="9">
        <f>PRODUCT(F90:K90)</f>
        <v>1400.0000000000002</v>
      </c>
    </row>
    <row r="91" spans="1:12" x14ac:dyDescent="0.35">
      <c r="A91">
        <v>190</v>
      </c>
      <c r="B91" t="s">
        <v>27</v>
      </c>
      <c r="C91" t="s">
        <v>31</v>
      </c>
      <c r="D91" t="s">
        <v>16</v>
      </c>
      <c r="E91">
        <v>44504</v>
      </c>
      <c r="F91">
        <v>15341</v>
      </c>
      <c r="G91" t="s">
        <v>15</v>
      </c>
      <c r="H91" t="str">
        <f>INDEX([1]CUSTOMER_DATA!B:B, MATCH(B91, [1]CUSTOMER_DATA!A:A, 0))</f>
        <v>Corporate</v>
      </c>
      <c r="I91" t="str">
        <f>IFERROR(
    INDEX([1]CUSTOMER_DATA!C:C, MATCH(B91, [1]CUSTOMER_DATA!A:A, 0)),
    "Unknown"
)</f>
        <v>Mumbai</v>
      </c>
      <c r="J91" t="str">
        <f>IF(F91&gt;=20000,"high",IF(F91&gt;15000,"medium","low"))</f>
        <v>medium</v>
      </c>
      <c r="K91" s="10">
        <f>IF(J92="high",0.1,IF(J92="medium",0.07,0.05))</f>
        <v>0.05</v>
      </c>
      <c r="L91" s="9">
        <f>PRODUCT(F91:K91)</f>
        <v>767.05000000000007</v>
      </c>
    </row>
    <row r="92" spans="1:12" x14ac:dyDescent="0.35">
      <c r="A92">
        <v>191</v>
      </c>
      <c r="B92" t="s">
        <v>28</v>
      </c>
      <c r="C92" t="s">
        <v>17</v>
      </c>
      <c r="D92" t="s">
        <v>16</v>
      </c>
      <c r="E92">
        <v>45024</v>
      </c>
      <c r="F92">
        <v>14439</v>
      </c>
      <c r="G92" t="s">
        <v>19</v>
      </c>
      <c r="H92" t="str">
        <f>INDEX([1]CUSTOMER_DATA!B:B, MATCH(B92, [1]CUSTOMER_DATA!A:A, 0))</f>
        <v>SMB</v>
      </c>
      <c r="I92" t="str">
        <f>IFERROR(
    INDEX([1]CUSTOMER_DATA!C:C, MATCH(B92, [1]CUSTOMER_DATA!A:A, 0)),
    "Unknown"
)</f>
        <v>Chennai</v>
      </c>
      <c r="J92" t="str">
        <f>IF(F92&gt;=20000,"high",IF(F92&gt;15000,"medium","low"))</f>
        <v>low</v>
      </c>
      <c r="K92" s="10">
        <f>IF(J93="high",0.1,IF(J93="medium",0.07,0.05))</f>
        <v>0.1</v>
      </c>
      <c r="L92" s="9">
        <f>PRODUCT(F92:K92)</f>
        <v>1443.9</v>
      </c>
    </row>
    <row r="93" spans="1:12" x14ac:dyDescent="0.35">
      <c r="A93">
        <v>192</v>
      </c>
      <c r="B93" t="s">
        <v>27</v>
      </c>
      <c r="C93" t="s">
        <v>23</v>
      </c>
      <c r="D93" t="s">
        <v>26</v>
      </c>
      <c r="E93">
        <v>44357</v>
      </c>
      <c r="F93">
        <v>20000</v>
      </c>
      <c r="G93" t="s">
        <v>25</v>
      </c>
      <c r="H93" t="str">
        <f>INDEX([1]CUSTOMER_DATA!B:B, MATCH(B93, [1]CUSTOMER_DATA!A:A, 0))</f>
        <v>Corporate</v>
      </c>
      <c r="I93" t="str">
        <f>IFERROR(
    INDEX([1]CUSTOMER_DATA!C:C, MATCH(B93, [1]CUSTOMER_DATA!A:A, 0)),
    "Unknown"
)</f>
        <v>Mumbai</v>
      </c>
      <c r="J93" t="str">
        <f>IF(F93&gt;=20000,"high",IF(F93&gt;15000,"medium","low"))</f>
        <v>high</v>
      </c>
      <c r="K93" s="10">
        <f>IF(J94="high",0.1,IF(J94="medium",0.07,0.05))</f>
        <v>7.0000000000000007E-2</v>
      </c>
      <c r="L93" s="9">
        <f>PRODUCT(F93:K93)</f>
        <v>1400.0000000000002</v>
      </c>
    </row>
    <row r="94" spans="1:12" x14ac:dyDescent="0.35">
      <c r="A94">
        <v>193</v>
      </c>
      <c r="B94" t="s">
        <v>24</v>
      </c>
      <c r="C94" t="s">
        <v>23</v>
      </c>
      <c r="D94" t="s">
        <v>20</v>
      </c>
      <c r="E94">
        <v>43958</v>
      </c>
      <c r="F94">
        <v>19524</v>
      </c>
      <c r="G94" t="s">
        <v>15</v>
      </c>
      <c r="H94" t="str">
        <f>INDEX([1]CUSTOMER_DATA!B:B, MATCH(B94, [1]CUSTOMER_DATA!A:A, 0))</f>
        <v>Corporate</v>
      </c>
      <c r="I94" t="str">
        <f>IFERROR(
    INDEX([1]CUSTOMER_DATA!C:C, MATCH(B94, [1]CUSTOMER_DATA!A:A, 0)),
    "Unknown"
)</f>
        <v>Ahmedabad</v>
      </c>
      <c r="J94" t="str">
        <f>IF(F94&gt;=20000,"high",IF(F94&gt;15000,"medium","low"))</f>
        <v>medium</v>
      </c>
      <c r="K94" s="10">
        <f>IF(J95="high",0.1,IF(J95="medium",0.07,0.05))</f>
        <v>7.0000000000000007E-2</v>
      </c>
      <c r="L94" s="9">
        <f>PRODUCT(F94:K94)</f>
        <v>1366.68</v>
      </c>
    </row>
    <row r="95" spans="1:12" x14ac:dyDescent="0.35">
      <c r="A95">
        <v>194</v>
      </c>
      <c r="B95" t="s">
        <v>22</v>
      </c>
      <c r="C95" t="s">
        <v>21</v>
      </c>
      <c r="D95" t="s">
        <v>20</v>
      </c>
      <c r="E95">
        <v>45546</v>
      </c>
      <c r="F95">
        <v>15459</v>
      </c>
      <c r="G95" t="s">
        <v>19</v>
      </c>
      <c r="H95" t="str">
        <f>INDEX([1]CUSTOMER_DATA!B:B, MATCH(B95, [1]CUSTOMER_DATA!A:A, 0))</f>
        <v>Retail</v>
      </c>
      <c r="I95" t="str">
        <f>IFERROR(
    INDEX([1]CUSTOMER_DATA!C:C, MATCH(B95, [1]CUSTOMER_DATA!A:A, 0)),
    "Unknown"
)</f>
        <v>Kolkata</v>
      </c>
      <c r="J95" t="str">
        <f>IF(F95&gt;=20000,"high",IF(F95&gt;15000,"medium","low"))</f>
        <v>medium</v>
      </c>
      <c r="K95" s="10">
        <f>IF(J96="high",0.1,IF(J96="medium",0.07,0.05))</f>
        <v>7.0000000000000007E-2</v>
      </c>
      <c r="L95" s="9">
        <f>PRODUCT(F95:K95)</f>
        <v>1082.1300000000001</v>
      </c>
    </row>
    <row r="96" spans="1:12" x14ac:dyDescent="0.35">
      <c r="A96">
        <v>195</v>
      </c>
      <c r="B96" t="s">
        <v>18</v>
      </c>
      <c r="C96" t="s">
        <v>17</v>
      </c>
      <c r="D96" t="s">
        <v>16</v>
      </c>
      <c r="E96">
        <v>44035</v>
      </c>
      <c r="F96">
        <v>15496</v>
      </c>
      <c r="G96" t="s">
        <v>29</v>
      </c>
      <c r="H96" t="str">
        <f>INDEX([1]CUSTOMER_DATA!B:B, MATCH(B96, [1]CUSTOMER_DATA!A:A, 0))</f>
        <v>SMB</v>
      </c>
      <c r="I96" t="str">
        <f>IFERROR(
    INDEX([1]CUSTOMER_DATA!C:C, MATCH(B96, [1]CUSTOMER_DATA!A:A, 0)),
    "Unknown"
)</f>
        <v>Pune</v>
      </c>
      <c r="J96" t="str">
        <f>IF(F96&gt;=20000,"high",IF(F96&gt;15000,"medium","low"))</f>
        <v>medium</v>
      </c>
      <c r="K96" s="10">
        <f>IF(J97="high",0.1,IF(J97="medium",0.07,0.05))</f>
        <v>7.0000000000000007E-2</v>
      </c>
      <c r="L96" s="9">
        <f>PRODUCT(F96:K96)</f>
        <v>1084.72</v>
      </c>
    </row>
    <row r="97" spans="1:12" x14ac:dyDescent="0.35">
      <c r="A97">
        <v>196</v>
      </c>
      <c r="B97" t="s">
        <v>27</v>
      </c>
      <c r="C97" t="s">
        <v>31</v>
      </c>
      <c r="D97" t="s">
        <v>30</v>
      </c>
      <c r="E97">
        <v>45410</v>
      </c>
      <c r="F97">
        <v>17064</v>
      </c>
      <c r="G97" t="s">
        <v>25</v>
      </c>
      <c r="H97" t="str">
        <f>INDEX([1]CUSTOMER_DATA!B:B, MATCH(B97, [1]CUSTOMER_DATA!A:A, 0))</f>
        <v>Corporate</v>
      </c>
      <c r="I97" t="str">
        <f>IFERROR(
    INDEX([1]CUSTOMER_DATA!C:C, MATCH(B97, [1]CUSTOMER_DATA!A:A, 0)),
    "Unknown"
)</f>
        <v>Mumbai</v>
      </c>
      <c r="J97" t="str">
        <f>IF(F97&gt;=20000,"high",IF(F97&gt;15000,"medium","low"))</f>
        <v>medium</v>
      </c>
      <c r="K97" s="10">
        <f>IF(J98="high",0.1,IF(J98="medium",0.07,0.05))</f>
        <v>0.05</v>
      </c>
      <c r="L97" s="9">
        <f>PRODUCT(F97:K97)</f>
        <v>853.2</v>
      </c>
    </row>
    <row r="98" spans="1:12" x14ac:dyDescent="0.35">
      <c r="A98">
        <v>197</v>
      </c>
      <c r="B98" t="s">
        <v>36</v>
      </c>
      <c r="C98" t="s">
        <v>23</v>
      </c>
      <c r="D98" t="s">
        <v>30</v>
      </c>
      <c r="E98">
        <v>44926</v>
      </c>
      <c r="F98">
        <v>12546</v>
      </c>
      <c r="G98" t="s">
        <v>19</v>
      </c>
      <c r="H98" t="str">
        <f>INDEX([1]CUSTOMER_DATA!B:B, MATCH(B98, [1]CUSTOMER_DATA!A:A, 0))</f>
        <v>Retail</v>
      </c>
      <c r="I98" t="str">
        <f>IFERROR(
    INDEX([1]CUSTOMER_DATA!C:C, MATCH(B98, [1]CUSTOMER_DATA!A:A, 0)),
    "Unknown"
)</f>
        <v>Hyderabad</v>
      </c>
      <c r="J98" t="str">
        <f>IF(F98&gt;=20000,"high",IF(F98&gt;15000,"medium","low"))</f>
        <v>low</v>
      </c>
      <c r="K98" s="10">
        <f>IF(J99="high",0.1,IF(J99="medium",0.07,0.05))</f>
        <v>0.05</v>
      </c>
      <c r="L98" s="9">
        <f>PRODUCT(F98:K98)</f>
        <v>627.30000000000007</v>
      </c>
    </row>
    <row r="99" spans="1:12" x14ac:dyDescent="0.35">
      <c r="A99">
        <v>198</v>
      </c>
      <c r="B99" t="s">
        <v>35</v>
      </c>
      <c r="C99" t="s">
        <v>23</v>
      </c>
      <c r="D99" t="s">
        <v>20</v>
      </c>
      <c r="E99">
        <v>44686</v>
      </c>
      <c r="F99">
        <v>12480</v>
      </c>
      <c r="G99" t="s">
        <v>25</v>
      </c>
      <c r="H99" t="str">
        <f>INDEX([1]CUSTOMER_DATA!B:B, MATCH(B99, [1]CUSTOMER_DATA!A:A, 0))</f>
        <v>Corporate</v>
      </c>
      <c r="I99" t="str">
        <f>IFERROR(
    INDEX([1]CUSTOMER_DATA!C:C, MATCH(B99, [1]CUSTOMER_DATA!A:A, 0)),
    "Unknown"
)</f>
        <v>Bangalore</v>
      </c>
      <c r="J99" t="str">
        <f>IF(F99&gt;=20000,"high",IF(F99&gt;15000,"medium","low"))</f>
        <v>low</v>
      </c>
      <c r="K99" s="10">
        <f>IF(J100="high",0.1,IF(J100="medium",0.07,0.05))</f>
        <v>0.05</v>
      </c>
      <c r="L99" s="9">
        <f>PRODUCT(F99:K99)</f>
        <v>624</v>
      </c>
    </row>
    <row r="100" spans="1:12" x14ac:dyDescent="0.35">
      <c r="A100">
        <v>199</v>
      </c>
      <c r="B100" t="s">
        <v>32</v>
      </c>
      <c r="C100" t="s">
        <v>17</v>
      </c>
      <c r="D100" t="s">
        <v>26</v>
      </c>
      <c r="E100">
        <v>44641</v>
      </c>
      <c r="F100">
        <v>10699</v>
      </c>
      <c r="G100" t="s">
        <v>29</v>
      </c>
      <c r="H100" t="str">
        <f>INDEX([1]CUSTOMER_DATA!B:B, MATCH(B100, [1]CUSTOMER_DATA!A:A, 0))</f>
        <v>Retail</v>
      </c>
      <c r="I100" t="str">
        <f>IFERROR(
    INDEX([1]CUSTOMER_DATA!C:C, MATCH(B100, [1]CUSTOMER_DATA!A:A, 0)),
    "Unknown"
)</f>
        <v>Delhi</v>
      </c>
      <c r="J100" t="str">
        <f>IF(F100&gt;=20000,"high",IF(F100&gt;15000,"medium","low"))</f>
        <v>low</v>
      </c>
      <c r="K100" s="10">
        <f>IF(J101="high",0.1,IF(J101="medium",0.07,0.05))</f>
        <v>0.05</v>
      </c>
      <c r="L100" s="9">
        <f>PRODUCT(F100:K100)</f>
        <v>534.95000000000005</v>
      </c>
    </row>
    <row r="101" spans="1:12" x14ac:dyDescent="0.35">
      <c r="A101">
        <v>200</v>
      </c>
      <c r="B101" t="s">
        <v>27</v>
      </c>
      <c r="C101" t="s">
        <v>21</v>
      </c>
      <c r="D101" t="s">
        <v>26</v>
      </c>
      <c r="E101">
        <v>45504</v>
      </c>
      <c r="F101">
        <v>10960</v>
      </c>
      <c r="G101" t="s">
        <v>25</v>
      </c>
      <c r="H101" t="str">
        <f>INDEX([1]CUSTOMER_DATA!B:B, MATCH(B101, [1]CUSTOMER_DATA!A:A, 0))</f>
        <v>Corporate</v>
      </c>
      <c r="I101" t="str">
        <f>IFERROR(
    INDEX([1]CUSTOMER_DATA!C:C, MATCH(B101, [1]CUSTOMER_DATA!A:A, 0)),
    "Unknown"
)</f>
        <v>Mumbai</v>
      </c>
      <c r="J101" t="str">
        <f>IF(F101&gt;=20000,"high",IF(F101&gt;15000,"medium","low"))</f>
        <v>low</v>
      </c>
      <c r="K101" s="10">
        <f>IF(J102="high",0.1,IF(J102="medium",0.07,0.05))</f>
        <v>0.1</v>
      </c>
      <c r="L101" s="9">
        <f>PRODUCT(F101:K101)</f>
        <v>1096</v>
      </c>
    </row>
    <row r="102" spans="1:12" x14ac:dyDescent="0.35">
      <c r="A102">
        <v>201</v>
      </c>
      <c r="B102" t="s">
        <v>34</v>
      </c>
      <c r="C102" t="s">
        <v>23</v>
      </c>
      <c r="D102" t="s">
        <v>16</v>
      </c>
      <c r="E102">
        <v>44483</v>
      </c>
      <c r="F102">
        <v>20000</v>
      </c>
      <c r="G102" t="s">
        <v>19</v>
      </c>
      <c r="H102" t="str">
        <f>INDEX([1]CUSTOMER_DATA!B:B, MATCH(B102, [1]CUSTOMER_DATA!A:A, 0))</f>
        <v>SMB</v>
      </c>
      <c r="I102" t="str">
        <f>IFERROR(
    INDEX([1]CUSTOMER_DATA!C:C, MATCH(B102, [1]CUSTOMER_DATA!A:A, 0)),
    "Unknown"
)</f>
        <v>Jaipur</v>
      </c>
      <c r="J102" t="str">
        <f>IF(F102&gt;=20000,"high",IF(F102&gt;15000,"medium","low"))</f>
        <v>high</v>
      </c>
      <c r="K102" s="10">
        <f>IF(J103="high",0.1,IF(J103="medium",0.07,0.05))</f>
        <v>0.05</v>
      </c>
      <c r="L102" s="9">
        <f>PRODUCT(F102:K102)</f>
        <v>1000</v>
      </c>
    </row>
    <row r="103" spans="1:12" x14ac:dyDescent="0.35">
      <c r="A103">
        <v>202</v>
      </c>
      <c r="B103" t="s">
        <v>32</v>
      </c>
      <c r="C103" t="s">
        <v>17</v>
      </c>
      <c r="D103" t="s">
        <v>30</v>
      </c>
      <c r="E103">
        <v>44333</v>
      </c>
      <c r="F103">
        <v>11654</v>
      </c>
      <c r="G103" t="s">
        <v>19</v>
      </c>
      <c r="H103" t="str">
        <f>INDEX([1]CUSTOMER_DATA!B:B, MATCH(B103, [1]CUSTOMER_DATA!A:A, 0))</f>
        <v>Retail</v>
      </c>
      <c r="I103" t="str">
        <f>IFERROR(
    INDEX([1]CUSTOMER_DATA!C:C, MATCH(B103, [1]CUSTOMER_DATA!A:A, 0)),
    "Unknown"
)</f>
        <v>Delhi</v>
      </c>
      <c r="J103" t="str">
        <f>IF(F103&gt;=20000,"high",IF(F103&gt;15000,"medium","low"))</f>
        <v>low</v>
      </c>
      <c r="K103" s="10">
        <f>IF(J104="high",0.1,IF(J104="medium",0.07,0.05))</f>
        <v>0.05</v>
      </c>
      <c r="L103" s="9">
        <f>PRODUCT(F103:K103)</f>
        <v>582.70000000000005</v>
      </c>
    </row>
    <row r="104" spans="1:12" x14ac:dyDescent="0.35">
      <c r="A104">
        <v>203</v>
      </c>
      <c r="B104" t="s">
        <v>32</v>
      </c>
      <c r="C104" t="s">
        <v>31</v>
      </c>
      <c r="D104" t="s">
        <v>16</v>
      </c>
      <c r="E104">
        <v>44955</v>
      </c>
      <c r="F104">
        <v>13498</v>
      </c>
      <c r="G104" t="s">
        <v>19</v>
      </c>
      <c r="H104" t="str">
        <f>INDEX([1]CUSTOMER_DATA!B:B, MATCH(B104, [1]CUSTOMER_DATA!A:A, 0))</f>
        <v>Retail</v>
      </c>
      <c r="I104" t="str">
        <f>IFERROR(
    INDEX([1]CUSTOMER_DATA!C:C, MATCH(B104, [1]CUSTOMER_DATA!A:A, 0)),
    "Unknown"
)</f>
        <v>Delhi</v>
      </c>
      <c r="J104" t="str">
        <f>IF(F104&gt;=20000,"high",IF(F104&gt;15000,"medium","low"))</f>
        <v>low</v>
      </c>
      <c r="K104" s="10">
        <f>IF(J105="high",0.1,IF(J105="medium",0.07,0.05))</f>
        <v>7.0000000000000007E-2</v>
      </c>
      <c r="L104" s="9">
        <f>PRODUCT(F104:K104)</f>
        <v>944.86000000000013</v>
      </c>
    </row>
    <row r="105" spans="1:12" x14ac:dyDescent="0.35">
      <c r="A105">
        <v>204</v>
      </c>
      <c r="B105" t="s">
        <v>27</v>
      </c>
      <c r="C105" t="s">
        <v>21</v>
      </c>
      <c r="D105" t="s">
        <v>16</v>
      </c>
      <c r="E105">
        <v>46110</v>
      </c>
      <c r="F105">
        <v>18665</v>
      </c>
      <c r="G105" t="s">
        <v>19</v>
      </c>
      <c r="H105" t="str">
        <f>INDEX([1]CUSTOMER_DATA!B:B, MATCH(B105, [1]CUSTOMER_DATA!A:A, 0))</f>
        <v>Corporate</v>
      </c>
      <c r="I105" t="str">
        <f>IFERROR(
    INDEX([1]CUSTOMER_DATA!C:C, MATCH(B105, [1]CUSTOMER_DATA!A:A, 0)),
    "Unknown"
)</f>
        <v>Mumbai</v>
      </c>
      <c r="J105" t="str">
        <f>IF(F105&gt;=20000,"high",IF(F105&gt;15000,"medium","low"))</f>
        <v>medium</v>
      </c>
      <c r="K105" s="10">
        <f>IF(J106="high",0.1,IF(J106="medium",0.07,0.05))</f>
        <v>0.1</v>
      </c>
      <c r="L105" s="9">
        <f>PRODUCT(F105:K105)</f>
        <v>1866.5</v>
      </c>
    </row>
    <row r="106" spans="1:12" x14ac:dyDescent="0.35">
      <c r="A106">
        <v>205</v>
      </c>
      <c r="B106" t="s">
        <v>33</v>
      </c>
      <c r="C106" t="s">
        <v>31</v>
      </c>
      <c r="D106" t="s">
        <v>16</v>
      </c>
      <c r="E106">
        <v>45925</v>
      </c>
      <c r="F106">
        <v>20000</v>
      </c>
      <c r="G106" t="s">
        <v>15</v>
      </c>
      <c r="H106" t="str">
        <f>INDEX([1]CUSTOMER_DATA!B:B, MATCH(B106, [1]CUSTOMER_DATA!A:A, 0))</f>
        <v>Corporate</v>
      </c>
      <c r="I106" t="str">
        <f>IFERROR(
    INDEX([1]CUSTOMER_DATA!C:C, MATCH(B106, [1]CUSTOMER_DATA!A:A, 0)),
    "Unknown"
)</f>
        <v>Surat</v>
      </c>
      <c r="J106" t="str">
        <f>IF(F106&gt;=20000,"high",IF(F106&gt;15000,"medium","low"))</f>
        <v>high</v>
      </c>
      <c r="K106" s="10">
        <f>IF(J107="high",0.1,IF(J107="medium",0.07,0.05))</f>
        <v>7.0000000000000007E-2</v>
      </c>
      <c r="L106" s="9">
        <f>PRODUCT(F106:K106)</f>
        <v>1400.0000000000002</v>
      </c>
    </row>
    <row r="107" spans="1:12" x14ac:dyDescent="0.35">
      <c r="A107">
        <v>206</v>
      </c>
      <c r="B107" t="s">
        <v>27</v>
      </c>
      <c r="C107" t="s">
        <v>31</v>
      </c>
      <c r="D107" t="s">
        <v>16</v>
      </c>
      <c r="E107">
        <v>44504</v>
      </c>
      <c r="F107">
        <v>15341</v>
      </c>
      <c r="G107" t="s">
        <v>15</v>
      </c>
      <c r="H107" t="str">
        <f>INDEX([1]CUSTOMER_DATA!B:B, MATCH(B107, [1]CUSTOMER_DATA!A:A, 0))</f>
        <v>Corporate</v>
      </c>
      <c r="I107" t="str">
        <f>IFERROR(
    INDEX([1]CUSTOMER_DATA!C:C, MATCH(B107, [1]CUSTOMER_DATA!A:A, 0)),
    "Unknown"
)</f>
        <v>Mumbai</v>
      </c>
      <c r="J107" t="str">
        <f>IF(F107&gt;=20000,"high",IF(F107&gt;15000,"medium","low"))</f>
        <v>medium</v>
      </c>
      <c r="K107" s="10">
        <f>IF(J108="high",0.1,IF(J108="medium",0.07,0.05))</f>
        <v>0.05</v>
      </c>
      <c r="L107" s="9">
        <f>PRODUCT(F107:K107)</f>
        <v>767.05000000000007</v>
      </c>
    </row>
    <row r="108" spans="1:12" x14ac:dyDescent="0.35">
      <c r="A108">
        <v>207</v>
      </c>
      <c r="B108" t="s">
        <v>27</v>
      </c>
      <c r="C108" t="s">
        <v>21</v>
      </c>
      <c r="D108" t="s">
        <v>20</v>
      </c>
      <c r="E108">
        <v>45967</v>
      </c>
      <c r="F108">
        <v>11012</v>
      </c>
      <c r="G108" t="s">
        <v>15</v>
      </c>
      <c r="H108" t="str">
        <f>INDEX([1]CUSTOMER_DATA!B:B, MATCH(B108, [1]CUSTOMER_DATA!A:A, 0))</f>
        <v>Corporate</v>
      </c>
      <c r="I108" t="str">
        <f>IFERROR(
    INDEX([1]CUSTOMER_DATA!C:C, MATCH(B108, [1]CUSTOMER_DATA!A:A, 0)),
    "Unknown"
)</f>
        <v>Mumbai</v>
      </c>
      <c r="J108" t="str">
        <f>IF(F108&gt;=20000,"high",IF(F108&gt;15000,"medium","low"))</f>
        <v>low</v>
      </c>
      <c r="K108" s="10">
        <f>IF(J109="high",0.1,IF(J109="medium",0.07,0.05))</f>
        <v>0.05</v>
      </c>
      <c r="L108" s="9">
        <f>PRODUCT(F108:K108)</f>
        <v>550.6</v>
      </c>
    </row>
    <row r="109" spans="1:12" x14ac:dyDescent="0.35">
      <c r="A109">
        <v>208</v>
      </c>
      <c r="B109" t="s">
        <v>32</v>
      </c>
      <c r="C109" t="s">
        <v>31</v>
      </c>
      <c r="D109" t="s">
        <v>30</v>
      </c>
      <c r="E109">
        <v>45486</v>
      </c>
      <c r="F109">
        <v>12378</v>
      </c>
      <c r="G109" t="s">
        <v>29</v>
      </c>
      <c r="H109" t="str">
        <f>INDEX([1]CUSTOMER_DATA!B:B, MATCH(B109, [1]CUSTOMER_DATA!A:A, 0))</f>
        <v>Retail</v>
      </c>
      <c r="I109" t="str">
        <f>IFERROR(
    INDEX([1]CUSTOMER_DATA!C:C, MATCH(B109, [1]CUSTOMER_DATA!A:A, 0)),
    "Unknown"
)</f>
        <v>Delhi</v>
      </c>
      <c r="J109" t="str">
        <f>IF(F109&gt;=20000,"high",IF(F109&gt;15000,"medium","low"))</f>
        <v>low</v>
      </c>
      <c r="K109" s="10">
        <f>IF(J110="high",0.1,IF(J110="medium",0.07,0.05))</f>
        <v>0.05</v>
      </c>
      <c r="L109" s="9">
        <f>PRODUCT(F109:K109)</f>
        <v>618.90000000000009</v>
      </c>
    </row>
    <row r="110" spans="1:12" x14ac:dyDescent="0.35">
      <c r="A110">
        <v>209</v>
      </c>
      <c r="B110" t="s">
        <v>28</v>
      </c>
      <c r="C110" t="s">
        <v>17</v>
      </c>
      <c r="D110" t="s">
        <v>16</v>
      </c>
      <c r="E110">
        <v>45024</v>
      </c>
      <c r="F110">
        <v>14439</v>
      </c>
      <c r="G110" t="s">
        <v>19</v>
      </c>
      <c r="H110" t="str">
        <f>INDEX([1]CUSTOMER_DATA!B:B, MATCH(B110, [1]CUSTOMER_DATA!A:A, 0))</f>
        <v>SMB</v>
      </c>
      <c r="I110" t="str">
        <f>IFERROR(
    INDEX([1]CUSTOMER_DATA!C:C, MATCH(B110, [1]CUSTOMER_DATA!A:A, 0)),
    "Unknown"
)</f>
        <v>Chennai</v>
      </c>
      <c r="J110" t="str">
        <f>IF(F110&gt;=20000,"high",IF(F110&gt;15000,"medium","low"))</f>
        <v>low</v>
      </c>
      <c r="K110" s="10">
        <f>IF(J111="high",0.1,IF(J111="medium",0.07,0.05))</f>
        <v>0.1</v>
      </c>
      <c r="L110" s="9">
        <f>PRODUCT(F110:K110)</f>
        <v>1443.9</v>
      </c>
    </row>
    <row r="111" spans="1:12" x14ac:dyDescent="0.35">
      <c r="A111">
        <v>210</v>
      </c>
      <c r="B111" t="s">
        <v>27</v>
      </c>
      <c r="C111" t="s">
        <v>23</v>
      </c>
      <c r="D111" t="s">
        <v>26</v>
      </c>
      <c r="E111">
        <v>44357</v>
      </c>
      <c r="F111">
        <v>20000</v>
      </c>
      <c r="G111" t="s">
        <v>25</v>
      </c>
      <c r="H111" t="str">
        <f>INDEX([1]CUSTOMER_DATA!B:B, MATCH(B111, [1]CUSTOMER_DATA!A:A, 0))</f>
        <v>Corporate</v>
      </c>
      <c r="I111" t="str">
        <f>IFERROR(
    INDEX([1]CUSTOMER_DATA!C:C, MATCH(B111, [1]CUSTOMER_DATA!A:A, 0)),
    "Unknown"
)</f>
        <v>Mumbai</v>
      </c>
      <c r="J111" t="str">
        <f>IF(F111&gt;=20000,"high",IF(F111&gt;15000,"medium","low"))</f>
        <v>high</v>
      </c>
      <c r="K111" s="10">
        <f>IF(J112="high",0.1,IF(J112="medium",0.07,0.05))</f>
        <v>7.0000000000000007E-2</v>
      </c>
      <c r="L111" s="9">
        <f>PRODUCT(F111:K111)</f>
        <v>1400.0000000000002</v>
      </c>
    </row>
    <row r="112" spans="1:12" x14ac:dyDescent="0.35">
      <c r="A112">
        <v>211</v>
      </c>
      <c r="B112" t="s">
        <v>24</v>
      </c>
      <c r="C112" t="s">
        <v>23</v>
      </c>
      <c r="D112" t="s">
        <v>20</v>
      </c>
      <c r="E112">
        <v>43958</v>
      </c>
      <c r="F112">
        <v>19524</v>
      </c>
      <c r="G112" t="s">
        <v>15</v>
      </c>
      <c r="H112" t="str">
        <f>INDEX([1]CUSTOMER_DATA!B:B, MATCH(B112, [1]CUSTOMER_DATA!A:A, 0))</f>
        <v>Corporate</v>
      </c>
      <c r="I112" t="str">
        <f>IFERROR(
    INDEX([1]CUSTOMER_DATA!C:C, MATCH(B112, [1]CUSTOMER_DATA!A:A, 0)),
    "Unknown"
)</f>
        <v>Ahmedabad</v>
      </c>
      <c r="J112" t="str">
        <f>IF(F112&gt;=20000,"high",IF(F112&gt;15000,"medium","low"))</f>
        <v>medium</v>
      </c>
      <c r="K112" s="10">
        <f>IF(J113="high",0.1,IF(J113="medium",0.07,0.05))</f>
        <v>7.0000000000000007E-2</v>
      </c>
      <c r="L112" s="9">
        <f>PRODUCT(F112:K112)</f>
        <v>1366.68</v>
      </c>
    </row>
    <row r="113" spans="1:12" x14ac:dyDescent="0.35">
      <c r="A113">
        <v>212</v>
      </c>
      <c r="B113" t="s">
        <v>22</v>
      </c>
      <c r="C113" t="s">
        <v>21</v>
      </c>
      <c r="D113" t="s">
        <v>20</v>
      </c>
      <c r="E113">
        <v>45546</v>
      </c>
      <c r="F113">
        <v>15459</v>
      </c>
      <c r="G113" t="s">
        <v>19</v>
      </c>
      <c r="H113" t="str">
        <f>INDEX([1]CUSTOMER_DATA!B:B, MATCH(B113, [1]CUSTOMER_DATA!A:A, 0))</f>
        <v>Retail</v>
      </c>
      <c r="I113" t="str">
        <f>IFERROR(
    INDEX([1]CUSTOMER_DATA!C:C, MATCH(B113, [1]CUSTOMER_DATA!A:A, 0)),
    "Unknown"
)</f>
        <v>Kolkata</v>
      </c>
      <c r="J113" t="str">
        <f>IF(F113&gt;=20000,"high",IF(F113&gt;15000,"medium","low"))</f>
        <v>medium</v>
      </c>
      <c r="K113" s="10">
        <f>IF(J114="high",0.1,IF(J114="medium",0.07,0.05))</f>
        <v>7.0000000000000007E-2</v>
      </c>
      <c r="L113" s="9">
        <f>PRODUCT(F113:K113)</f>
        <v>1082.1300000000001</v>
      </c>
    </row>
    <row r="114" spans="1:12" x14ac:dyDescent="0.35">
      <c r="A114">
        <v>213</v>
      </c>
      <c r="B114" t="s">
        <v>18</v>
      </c>
      <c r="C114" t="s">
        <v>17</v>
      </c>
      <c r="D114" t="s">
        <v>16</v>
      </c>
      <c r="E114">
        <v>44035</v>
      </c>
      <c r="F114">
        <v>15496</v>
      </c>
      <c r="G114" t="s">
        <v>29</v>
      </c>
      <c r="H114" t="str">
        <f>INDEX([1]CUSTOMER_DATA!B:B, MATCH(B114, [1]CUSTOMER_DATA!A:A, 0))</f>
        <v>SMB</v>
      </c>
      <c r="I114" t="str">
        <f>IFERROR(
    INDEX([1]CUSTOMER_DATA!C:C, MATCH(B114, [1]CUSTOMER_DATA!A:A, 0)),
    "Unknown"
)</f>
        <v>Pune</v>
      </c>
      <c r="J114" t="str">
        <f>IF(F114&gt;=20000,"high",IF(F114&gt;15000,"medium","low"))</f>
        <v>medium</v>
      </c>
      <c r="K114" s="10">
        <f>IF(J115="high",0.1,IF(J115="medium",0.07,0.05))</f>
        <v>7.0000000000000007E-2</v>
      </c>
      <c r="L114" s="9">
        <f>PRODUCT(F114:K114)</f>
        <v>1084.72</v>
      </c>
    </row>
    <row r="115" spans="1:12" x14ac:dyDescent="0.35">
      <c r="A115">
        <v>214</v>
      </c>
      <c r="B115" t="s">
        <v>27</v>
      </c>
      <c r="C115" t="s">
        <v>31</v>
      </c>
      <c r="D115" t="s">
        <v>30</v>
      </c>
      <c r="E115">
        <v>45410</v>
      </c>
      <c r="F115">
        <v>17064</v>
      </c>
      <c r="G115" t="s">
        <v>25</v>
      </c>
      <c r="H115" t="str">
        <f>INDEX([1]CUSTOMER_DATA!B:B, MATCH(B115, [1]CUSTOMER_DATA!A:A, 0))</f>
        <v>Corporate</v>
      </c>
      <c r="I115" t="str">
        <f>IFERROR(
    INDEX([1]CUSTOMER_DATA!C:C, MATCH(B115, [1]CUSTOMER_DATA!A:A, 0)),
    "Unknown"
)</f>
        <v>Mumbai</v>
      </c>
      <c r="J115" t="str">
        <f>IF(F115&gt;=20000,"high",IF(F115&gt;15000,"medium","low"))</f>
        <v>medium</v>
      </c>
      <c r="K115" s="10">
        <f>IF(J116="high",0.1,IF(J116="medium",0.07,0.05))</f>
        <v>0.05</v>
      </c>
      <c r="L115" s="9">
        <f>PRODUCT(F115:K115)</f>
        <v>853.2</v>
      </c>
    </row>
    <row r="116" spans="1:12" x14ac:dyDescent="0.35">
      <c r="A116">
        <v>215</v>
      </c>
      <c r="B116" t="s">
        <v>36</v>
      </c>
      <c r="C116" t="s">
        <v>23</v>
      </c>
      <c r="D116" t="s">
        <v>30</v>
      </c>
      <c r="E116">
        <v>44926</v>
      </c>
      <c r="F116">
        <v>12546</v>
      </c>
      <c r="G116" t="s">
        <v>19</v>
      </c>
      <c r="H116" t="str">
        <f>INDEX([1]CUSTOMER_DATA!B:B, MATCH(B116, [1]CUSTOMER_DATA!A:A, 0))</f>
        <v>Retail</v>
      </c>
      <c r="I116" t="str">
        <f>IFERROR(
    INDEX([1]CUSTOMER_DATA!C:C, MATCH(B116, [1]CUSTOMER_DATA!A:A, 0)),
    "Unknown"
)</f>
        <v>Hyderabad</v>
      </c>
      <c r="J116" t="str">
        <f>IF(F116&gt;=20000,"high",IF(F116&gt;15000,"medium","low"))</f>
        <v>low</v>
      </c>
      <c r="K116" s="10">
        <f>IF(J117="high",0.1,IF(J117="medium",0.07,0.05))</f>
        <v>0.05</v>
      </c>
      <c r="L116" s="9">
        <f>PRODUCT(F116:K116)</f>
        <v>627.30000000000007</v>
      </c>
    </row>
    <row r="117" spans="1:12" x14ac:dyDescent="0.35">
      <c r="A117">
        <v>216</v>
      </c>
      <c r="B117" t="s">
        <v>35</v>
      </c>
      <c r="C117" t="s">
        <v>23</v>
      </c>
      <c r="D117" t="s">
        <v>20</v>
      </c>
      <c r="E117">
        <v>44686</v>
      </c>
      <c r="F117">
        <v>12480</v>
      </c>
      <c r="G117" t="s">
        <v>25</v>
      </c>
      <c r="H117" t="str">
        <f>INDEX([1]CUSTOMER_DATA!B:B, MATCH(B117, [1]CUSTOMER_DATA!A:A, 0))</f>
        <v>Corporate</v>
      </c>
      <c r="I117" t="str">
        <f>IFERROR(
    INDEX([1]CUSTOMER_DATA!C:C, MATCH(B117, [1]CUSTOMER_DATA!A:A, 0)),
    "Unknown"
)</f>
        <v>Bangalore</v>
      </c>
      <c r="J117" t="str">
        <f>IF(F117&gt;=20000,"high",IF(F117&gt;15000,"medium","low"))</f>
        <v>low</v>
      </c>
      <c r="K117" s="10">
        <f>IF(J118="high",0.1,IF(J118="medium",0.07,0.05))</f>
        <v>0.05</v>
      </c>
      <c r="L117" s="9">
        <f>PRODUCT(F117:K117)</f>
        <v>624</v>
      </c>
    </row>
    <row r="118" spans="1:12" x14ac:dyDescent="0.35">
      <c r="A118">
        <v>217</v>
      </c>
      <c r="B118" t="s">
        <v>32</v>
      </c>
      <c r="C118" t="s">
        <v>17</v>
      </c>
      <c r="D118" t="s">
        <v>26</v>
      </c>
      <c r="E118">
        <v>44641</v>
      </c>
      <c r="F118">
        <v>10699</v>
      </c>
      <c r="G118" t="s">
        <v>29</v>
      </c>
      <c r="H118" t="str">
        <f>INDEX([1]CUSTOMER_DATA!B:B, MATCH(B118, [1]CUSTOMER_DATA!A:A, 0))</f>
        <v>Retail</v>
      </c>
      <c r="I118" t="str">
        <f>IFERROR(
    INDEX([1]CUSTOMER_DATA!C:C, MATCH(B118, [1]CUSTOMER_DATA!A:A, 0)),
    "Unknown"
)</f>
        <v>Delhi</v>
      </c>
      <c r="J118" t="str">
        <f>IF(F118&gt;=20000,"high",IF(F118&gt;15000,"medium","low"))</f>
        <v>low</v>
      </c>
      <c r="K118" s="10">
        <f>IF(J119="high",0.1,IF(J119="medium",0.07,0.05))</f>
        <v>0.05</v>
      </c>
      <c r="L118" s="9">
        <f>PRODUCT(F118:K118)</f>
        <v>534.95000000000005</v>
      </c>
    </row>
    <row r="119" spans="1:12" x14ac:dyDescent="0.35">
      <c r="A119">
        <v>218</v>
      </c>
      <c r="B119" t="s">
        <v>27</v>
      </c>
      <c r="C119" t="s">
        <v>21</v>
      </c>
      <c r="D119" t="s">
        <v>26</v>
      </c>
      <c r="E119">
        <v>45504</v>
      </c>
      <c r="F119">
        <v>10960</v>
      </c>
      <c r="G119" t="s">
        <v>25</v>
      </c>
      <c r="H119" t="str">
        <f>INDEX([1]CUSTOMER_DATA!B:B, MATCH(B119, [1]CUSTOMER_DATA!A:A, 0))</f>
        <v>Corporate</v>
      </c>
      <c r="I119" t="str">
        <f>IFERROR(
    INDEX([1]CUSTOMER_DATA!C:C, MATCH(B119, [1]CUSTOMER_DATA!A:A, 0)),
    "Unknown"
)</f>
        <v>Mumbai</v>
      </c>
      <c r="J119" t="str">
        <f>IF(F119&gt;=20000,"high",IF(F119&gt;15000,"medium","low"))</f>
        <v>low</v>
      </c>
      <c r="K119" s="10">
        <f>IF(J120="high",0.1,IF(J120="medium",0.07,0.05))</f>
        <v>0.1</v>
      </c>
      <c r="L119" s="9">
        <f>PRODUCT(F119:K119)</f>
        <v>1096</v>
      </c>
    </row>
    <row r="120" spans="1:12" x14ac:dyDescent="0.35">
      <c r="A120">
        <v>219</v>
      </c>
      <c r="B120" t="s">
        <v>34</v>
      </c>
      <c r="C120" t="s">
        <v>23</v>
      </c>
      <c r="D120" t="s">
        <v>16</v>
      </c>
      <c r="E120">
        <v>44483</v>
      </c>
      <c r="F120">
        <v>20000</v>
      </c>
      <c r="G120" t="s">
        <v>19</v>
      </c>
      <c r="H120" t="str">
        <f>INDEX([1]CUSTOMER_DATA!B:B, MATCH(B120, [1]CUSTOMER_DATA!A:A, 0))</f>
        <v>SMB</v>
      </c>
      <c r="I120" t="str">
        <f>IFERROR(
    INDEX([1]CUSTOMER_DATA!C:C, MATCH(B120, [1]CUSTOMER_DATA!A:A, 0)),
    "Unknown"
)</f>
        <v>Jaipur</v>
      </c>
      <c r="J120" t="str">
        <f>IF(F120&gt;=20000,"high",IF(F120&gt;15000,"medium","low"))</f>
        <v>high</v>
      </c>
      <c r="K120" s="10">
        <f>IF(J121="high",0.1,IF(J121="medium",0.07,0.05))</f>
        <v>0.05</v>
      </c>
      <c r="L120" s="9">
        <f>PRODUCT(F120:K120)</f>
        <v>1000</v>
      </c>
    </row>
    <row r="121" spans="1:12" x14ac:dyDescent="0.35">
      <c r="A121">
        <v>220</v>
      </c>
      <c r="B121" t="s">
        <v>32</v>
      </c>
      <c r="C121" t="s">
        <v>17</v>
      </c>
      <c r="D121" t="s">
        <v>30</v>
      </c>
      <c r="E121">
        <v>44333</v>
      </c>
      <c r="F121">
        <v>11654</v>
      </c>
      <c r="G121" t="s">
        <v>19</v>
      </c>
      <c r="H121" t="str">
        <f>INDEX([1]CUSTOMER_DATA!B:B, MATCH(B121, [1]CUSTOMER_DATA!A:A, 0))</f>
        <v>Retail</v>
      </c>
      <c r="I121" t="str">
        <f>IFERROR(
    INDEX([1]CUSTOMER_DATA!C:C, MATCH(B121, [1]CUSTOMER_DATA!A:A, 0)),
    "Unknown"
)</f>
        <v>Delhi</v>
      </c>
      <c r="J121" t="str">
        <f>IF(F121&gt;=20000,"high",IF(F121&gt;15000,"medium","low"))</f>
        <v>low</v>
      </c>
      <c r="K121" s="10">
        <f>IF(J122="high",0.1,IF(J122="medium",0.07,0.05))</f>
        <v>0.05</v>
      </c>
      <c r="L121" s="9">
        <f>PRODUCT(F121:K121)</f>
        <v>582.70000000000005</v>
      </c>
    </row>
    <row r="122" spans="1:12" x14ac:dyDescent="0.35">
      <c r="A122">
        <v>221</v>
      </c>
      <c r="B122" t="s">
        <v>32</v>
      </c>
      <c r="C122" t="s">
        <v>31</v>
      </c>
      <c r="D122" t="s">
        <v>16</v>
      </c>
      <c r="E122">
        <v>44955</v>
      </c>
      <c r="F122">
        <v>13498</v>
      </c>
      <c r="G122" t="s">
        <v>19</v>
      </c>
      <c r="H122" t="str">
        <f>INDEX([1]CUSTOMER_DATA!B:B, MATCH(B122, [1]CUSTOMER_DATA!A:A, 0))</f>
        <v>Retail</v>
      </c>
      <c r="I122" t="str">
        <f>IFERROR(
    INDEX([1]CUSTOMER_DATA!C:C, MATCH(B122, [1]CUSTOMER_DATA!A:A, 0)),
    "Unknown"
)</f>
        <v>Delhi</v>
      </c>
      <c r="J122" t="str">
        <f>IF(F122&gt;=20000,"high",IF(F122&gt;15000,"medium","low"))</f>
        <v>low</v>
      </c>
      <c r="K122" s="10">
        <f>IF(J123="high",0.1,IF(J123="medium",0.07,0.05))</f>
        <v>7.0000000000000007E-2</v>
      </c>
      <c r="L122" s="9">
        <f>PRODUCT(F122:K122)</f>
        <v>944.86000000000013</v>
      </c>
    </row>
    <row r="123" spans="1:12" x14ac:dyDescent="0.35">
      <c r="A123">
        <v>222</v>
      </c>
      <c r="B123" t="s">
        <v>27</v>
      </c>
      <c r="C123" t="s">
        <v>21</v>
      </c>
      <c r="D123" t="s">
        <v>16</v>
      </c>
      <c r="E123">
        <v>46110</v>
      </c>
      <c r="F123">
        <v>18665</v>
      </c>
      <c r="G123" t="s">
        <v>19</v>
      </c>
      <c r="H123" t="str">
        <f>INDEX([1]CUSTOMER_DATA!B:B, MATCH(B123, [1]CUSTOMER_DATA!A:A, 0))</f>
        <v>Corporate</v>
      </c>
      <c r="I123" t="str">
        <f>IFERROR(
    INDEX([1]CUSTOMER_DATA!C:C, MATCH(B123, [1]CUSTOMER_DATA!A:A, 0)),
    "Unknown"
)</f>
        <v>Mumbai</v>
      </c>
      <c r="J123" t="str">
        <f>IF(F123&gt;=20000,"high",IF(F123&gt;15000,"medium","low"))</f>
        <v>medium</v>
      </c>
      <c r="K123" s="10">
        <f>IF(J124="high",0.1,IF(J124="medium",0.07,0.05))</f>
        <v>0.1</v>
      </c>
      <c r="L123" s="9">
        <f>PRODUCT(F123:K123)</f>
        <v>1866.5</v>
      </c>
    </row>
    <row r="124" spans="1:12" x14ac:dyDescent="0.35">
      <c r="A124">
        <v>223</v>
      </c>
      <c r="B124" t="s">
        <v>33</v>
      </c>
      <c r="C124" t="s">
        <v>31</v>
      </c>
      <c r="D124" t="s">
        <v>16</v>
      </c>
      <c r="E124">
        <v>45925</v>
      </c>
      <c r="F124">
        <v>20000</v>
      </c>
      <c r="G124" t="s">
        <v>15</v>
      </c>
      <c r="H124" t="str">
        <f>INDEX([1]CUSTOMER_DATA!B:B, MATCH(B124, [1]CUSTOMER_DATA!A:A, 0))</f>
        <v>Corporate</v>
      </c>
      <c r="I124" t="str">
        <f>IFERROR(
    INDEX([1]CUSTOMER_DATA!C:C, MATCH(B124, [1]CUSTOMER_DATA!A:A, 0)),
    "Unknown"
)</f>
        <v>Surat</v>
      </c>
      <c r="J124" t="str">
        <f>IF(F124&gt;=20000,"high",IF(F124&gt;15000,"medium","low"))</f>
        <v>high</v>
      </c>
      <c r="K124" s="10">
        <f>IF(J125="high",0.1,IF(J125="medium",0.07,0.05))</f>
        <v>7.0000000000000007E-2</v>
      </c>
      <c r="L124" s="9">
        <f>PRODUCT(F124:K124)</f>
        <v>1400.0000000000002</v>
      </c>
    </row>
    <row r="125" spans="1:12" x14ac:dyDescent="0.35">
      <c r="A125">
        <v>224</v>
      </c>
      <c r="B125" t="s">
        <v>27</v>
      </c>
      <c r="C125" t="s">
        <v>31</v>
      </c>
      <c r="D125" t="s">
        <v>16</v>
      </c>
      <c r="E125">
        <v>44504</v>
      </c>
      <c r="F125">
        <v>15341</v>
      </c>
      <c r="G125" t="s">
        <v>15</v>
      </c>
      <c r="H125" t="str">
        <f>INDEX([1]CUSTOMER_DATA!B:B, MATCH(B125, [1]CUSTOMER_DATA!A:A, 0))</f>
        <v>Corporate</v>
      </c>
      <c r="I125" t="str">
        <f>IFERROR(
    INDEX([1]CUSTOMER_DATA!C:C, MATCH(B125, [1]CUSTOMER_DATA!A:A, 0)),
    "Unknown"
)</f>
        <v>Mumbai</v>
      </c>
      <c r="J125" t="str">
        <f>IF(F125&gt;=20000,"high",IF(F125&gt;15000,"medium","low"))</f>
        <v>medium</v>
      </c>
      <c r="K125" s="10">
        <f>IF(J126="high",0.1,IF(J126="medium",0.07,0.05))</f>
        <v>0.05</v>
      </c>
      <c r="L125" s="9">
        <f>PRODUCT(F125:K125)</f>
        <v>767.05000000000007</v>
      </c>
    </row>
    <row r="126" spans="1:12" x14ac:dyDescent="0.35">
      <c r="A126">
        <v>225</v>
      </c>
      <c r="B126" t="s">
        <v>28</v>
      </c>
      <c r="C126" t="s">
        <v>17</v>
      </c>
      <c r="D126" t="s">
        <v>16</v>
      </c>
      <c r="E126">
        <v>45024</v>
      </c>
      <c r="F126">
        <v>14439</v>
      </c>
      <c r="G126" t="s">
        <v>19</v>
      </c>
      <c r="H126" t="str">
        <f>INDEX([1]CUSTOMER_DATA!B:B, MATCH(B126, [1]CUSTOMER_DATA!A:A, 0))</f>
        <v>SMB</v>
      </c>
      <c r="I126" t="str">
        <f>IFERROR(
    INDEX([1]CUSTOMER_DATA!C:C, MATCH(B126, [1]CUSTOMER_DATA!A:A, 0)),
    "Unknown"
)</f>
        <v>Chennai</v>
      </c>
      <c r="J126" t="str">
        <f>IF(F126&gt;=20000,"high",IF(F126&gt;15000,"medium","low"))</f>
        <v>low</v>
      </c>
      <c r="K126" s="10">
        <f>IF(J127="high",0.1,IF(J127="medium",0.07,0.05))</f>
        <v>0.1</v>
      </c>
      <c r="L126" s="9">
        <f>PRODUCT(F126:K126)</f>
        <v>1443.9</v>
      </c>
    </row>
    <row r="127" spans="1:12" x14ac:dyDescent="0.35">
      <c r="A127">
        <v>226</v>
      </c>
      <c r="B127" t="s">
        <v>27</v>
      </c>
      <c r="C127" t="s">
        <v>23</v>
      </c>
      <c r="D127" t="s">
        <v>26</v>
      </c>
      <c r="E127">
        <v>44357</v>
      </c>
      <c r="F127">
        <v>20000</v>
      </c>
      <c r="G127" t="s">
        <v>25</v>
      </c>
      <c r="H127" t="str">
        <f>INDEX([1]CUSTOMER_DATA!B:B, MATCH(B127, [1]CUSTOMER_DATA!A:A, 0))</f>
        <v>Corporate</v>
      </c>
      <c r="I127" t="str">
        <f>IFERROR(
    INDEX([1]CUSTOMER_DATA!C:C, MATCH(B127, [1]CUSTOMER_DATA!A:A, 0)),
    "Unknown"
)</f>
        <v>Mumbai</v>
      </c>
      <c r="J127" t="str">
        <f>IF(F127&gt;=20000,"high",IF(F127&gt;15000,"medium","low"))</f>
        <v>high</v>
      </c>
      <c r="K127" s="10">
        <f>IF(J128="high",0.1,IF(J128="medium",0.07,0.05))</f>
        <v>7.0000000000000007E-2</v>
      </c>
      <c r="L127" s="9">
        <f>PRODUCT(F127:K127)</f>
        <v>1400.0000000000002</v>
      </c>
    </row>
    <row r="128" spans="1:12" x14ac:dyDescent="0.35">
      <c r="A128">
        <v>227</v>
      </c>
      <c r="B128" t="s">
        <v>24</v>
      </c>
      <c r="C128" t="s">
        <v>23</v>
      </c>
      <c r="D128" t="s">
        <v>20</v>
      </c>
      <c r="E128">
        <v>43958</v>
      </c>
      <c r="F128">
        <v>19524</v>
      </c>
      <c r="G128" t="s">
        <v>15</v>
      </c>
      <c r="H128" t="str">
        <f>INDEX([1]CUSTOMER_DATA!B:B, MATCH(B128, [1]CUSTOMER_DATA!A:A, 0))</f>
        <v>Corporate</v>
      </c>
      <c r="I128" t="str">
        <f>IFERROR(
    INDEX([1]CUSTOMER_DATA!C:C, MATCH(B128, [1]CUSTOMER_DATA!A:A, 0)),
    "Unknown"
)</f>
        <v>Ahmedabad</v>
      </c>
      <c r="J128" t="str">
        <f>IF(F128&gt;=20000,"high",IF(F128&gt;15000,"medium","low"))</f>
        <v>medium</v>
      </c>
      <c r="K128" s="10">
        <f>IF(J129="high",0.1,IF(J129="medium",0.07,0.05))</f>
        <v>7.0000000000000007E-2</v>
      </c>
      <c r="L128" s="9">
        <f>PRODUCT(F128:K128)</f>
        <v>1366.68</v>
      </c>
    </row>
    <row r="129" spans="1:12" x14ac:dyDescent="0.35">
      <c r="A129">
        <v>228</v>
      </c>
      <c r="B129" t="s">
        <v>22</v>
      </c>
      <c r="C129" t="s">
        <v>21</v>
      </c>
      <c r="D129" t="s">
        <v>20</v>
      </c>
      <c r="E129">
        <v>45546</v>
      </c>
      <c r="F129">
        <v>15459</v>
      </c>
      <c r="G129" t="s">
        <v>19</v>
      </c>
      <c r="H129" t="str">
        <f>INDEX([1]CUSTOMER_DATA!B:B, MATCH(B129, [1]CUSTOMER_DATA!A:A, 0))</f>
        <v>Retail</v>
      </c>
      <c r="I129" t="str">
        <f>IFERROR(
    INDEX([1]CUSTOMER_DATA!C:C, MATCH(B129, [1]CUSTOMER_DATA!A:A, 0)),
    "Unknown"
)</f>
        <v>Kolkata</v>
      </c>
      <c r="J129" t="str">
        <f>IF(F129&gt;=20000,"high",IF(F129&gt;15000,"medium","low"))</f>
        <v>medium</v>
      </c>
      <c r="K129" s="10">
        <f>IF(J130="high",0.1,IF(J130="medium",0.07,0.05))</f>
        <v>7.0000000000000007E-2</v>
      </c>
      <c r="L129" s="9">
        <f>PRODUCT(F129:K129)</f>
        <v>1082.1300000000001</v>
      </c>
    </row>
    <row r="130" spans="1:12" x14ac:dyDescent="0.35">
      <c r="A130">
        <v>229</v>
      </c>
      <c r="B130" t="s">
        <v>18</v>
      </c>
      <c r="C130" t="s">
        <v>17</v>
      </c>
      <c r="D130" t="s">
        <v>16</v>
      </c>
      <c r="E130">
        <v>44035</v>
      </c>
      <c r="F130">
        <v>15496</v>
      </c>
      <c r="G130" t="s">
        <v>29</v>
      </c>
      <c r="H130" t="str">
        <f>INDEX([1]CUSTOMER_DATA!B:B, MATCH(B130, [1]CUSTOMER_DATA!A:A, 0))</f>
        <v>SMB</v>
      </c>
      <c r="I130" t="str">
        <f>IFERROR(
    INDEX([1]CUSTOMER_DATA!C:C, MATCH(B130, [1]CUSTOMER_DATA!A:A, 0)),
    "Unknown"
)</f>
        <v>Pune</v>
      </c>
      <c r="J130" t="str">
        <f>IF(F130&gt;=20000,"high",IF(F130&gt;15000,"medium","low"))</f>
        <v>medium</v>
      </c>
      <c r="K130" s="10">
        <f>IF(J131="high",0.1,IF(J131="medium",0.07,0.05))</f>
        <v>7.0000000000000007E-2</v>
      </c>
      <c r="L130" s="9">
        <f>PRODUCT(F130:K130)</f>
        <v>1084.72</v>
      </c>
    </row>
    <row r="131" spans="1:12" x14ac:dyDescent="0.35">
      <c r="A131">
        <v>230</v>
      </c>
      <c r="B131" t="s">
        <v>27</v>
      </c>
      <c r="C131" t="s">
        <v>31</v>
      </c>
      <c r="D131" t="s">
        <v>30</v>
      </c>
      <c r="E131">
        <v>45410</v>
      </c>
      <c r="F131">
        <v>17064</v>
      </c>
      <c r="G131" t="s">
        <v>25</v>
      </c>
      <c r="H131" t="str">
        <f>INDEX([1]CUSTOMER_DATA!B:B, MATCH(B131, [1]CUSTOMER_DATA!A:A, 0))</f>
        <v>Corporate</v>
      </c>
      <c r="I131" t="str">
        <f>IFERROR(
    INDEX([1]CUSTOMER_DATA!C:C, MATCH(B131, [1]CUSTOMER_DATA!A:A, 0)),
    "Unknown"
)</f>
        <v>Mumbai</v>
      </c>
      <c r="J131" t="str">
        <f>IF(F131&gt;=20000,"high",IF(F131&gt;15000,"medium","low"))</f>
        <v>medium</v>
      </c>
      <c r="K131" s="10">
        <f>IF(J132="high",0.1,IF(J132="medium",0.07,0.05))</f>
        <v>0.05</v>
      </c>
      <c r="L131" s="9">
        <f>PRODUCT(F131:K131)</f>
        <v>853.2</v>
      </c>
    </row>
    <row r="132" spans="1:12" x14ac:dyDescent="0.35">
      <c r="A132">
        <v>231</v>
      </c>
      <c r="B132" t="s">
        <v>36</v>
      </c>
      <c r="C132" t="s">
        <v>23</v>
      </c>
      <c r="D132" t="s">
        <v>30</v>
      </c>
      <c r="E132">
        <v>44926</v>
      </c>
      <c r="F132">
        <v>12546</v>
      </c>
      <c r="G132" t="s">
        <v>19</v>
      </c>
      <c r="H132" t="str">
        <f>INDEX([1]CUSTOMER_DATA!B:B, MATCH(B132, [1]CUSTOMER_DATA!A:A, 0))</f>
        <v>Retail</v>
      </c>
      <c r="I132" t="str">
        <f>IFERROR(
    INDEX([1]CUSTOMER_DATA!C:C, MATCH(B132, [1]CUSTOMER_DATA!A:A, 0)),
    "Unknown"
)</f>
        <v>Hyderabad</v>
      </c>
      <c r="J132" t="str">
        <f>IF(F132&gt;=20000,"high",IF(F132&gt;15000,"medium","low"))</f>
        <v>low</v>
      </c>
      <c r="K132" s="10">
        <f>IF(J133="high",0.1,IF(J133="medium",0.07,0.05))</f>
        <v>0.05</v>
      </c>
      <c r="L132" s="9">
        <f>PRODUCT(F132:K132)</f>
        <v>627.30000000000007</v>
      </c>
    </row>
    <row r="133" spans="1:12" x14ac:dyDescent="0.35">
      <c r="A133">
        <v>232</v>
      </c>
      <c r="B133" t="s">
        <v>35</v>
      </c>
      <c r="C133" t="s">
        <v>23</v>
      </c>
      <c r="D133" t="s">
        <v>20</v>
      </c>
      <c r="E133">
        <v>44686</v>
      </c>
      <c r="F133">
        <v>12480</v>
      </c>
      <c r="G133" t="s">
        <v>25</v>
      </c>
      <c r="H133" t="str">
        <f>INDEX([1]CUSTOMER_DATA!B:B, MATCH(B133, [1]CUSTOMER_DATA!A:A, 0))</f>
        <v>Corporate</v>
      </c>
      <c r="I133" t="str">
        <f>IFERROR(
    INDEX([1]CUSTOMER_DATA!C:C, MATCH(B133, [1]CUSTOMER_DATA!A:A, 0)),
    "Unknown"
)</f>
        <v>Bangalore</v>
      </c>
      <c r="J133" t="str">
        <f>IF(F133&gt;=20000,"high",IF(F133&gt;15000,"medium","low"))</f>
        <v>low</v>
      </c>
      <c r="K133" s="10">
        <f>IF(J134="high",0.1,IF(J134="medium",0.07,0.05))</f>
        <v>0.05</v>
      </c>
      <c r="L133" s="9">
        <f>PRODUCT(F133:K133)</f>
        <v>624</v>
      </c>
    </row>
    <row r="134" spans="1:12" x14ac:dyDescent="0.35">
      <c r="A134">
        <v>233</v>
      </c>
      <c r="B134" t="s">
        <v>32</v>
      </c>
      <c r="C134" t="s">
        <v>17</v>
      </c>
      <c r="D134" t="s">
        <v>26</v>
      </c>
      <c r="E134">
        <v>44641</v>
      </c>
      <c r="F134">
        <v>10699</v>
      </c>
      <c r="G134" t="s">
        <v>29</v>
      </c>
      <c r="H134" t="str">
        <f>INDEX([1]CUSTOMER_DATA!B:B, MATCH(B134, [1]CUSTOMER_DATA!A:A, 0))</f>
        <v>Retail</v>
      </c>
      <c r="I134" t="str">
        <f>IFERROR(
    INDEX([1]CUSTOMER_DATA!C:C, MATCH(B134, [1]CUSTOMER_DATA!A:A, 0)),
    "Unknown"
)</f>
        <v>Delhi</v>
      </c>
      <c r="J134" t="str">
        <f>IF(F134&gt;=20000,"high",IF(F134&gt;15000,"medium","low"))</f>
        <v>low</v>
      </c>
      <c r="K134" s="10">
        <f>IF(J135="high",0.1,IF(J135="medium",0.07,0.05))</f>
        <v>0.05</v>
      </c>
      <c r="L134" s="9">
        <f>PRODUCT(F134:K134)</f>
        <v>534.95000000000005</v>
      </c>
    </row>
    <row r="135" spans="1:12" x14ac:dyDescent="0.35">
      <c r="A135">
        <v>234</v>
      </c>
      <c r="B135" t="s">
        <v>27</v>
      </c>
      <c r="C135" t="s">
        <v>21</v>
      </c>
      <c r="D135" t="s">
        <v>26</v>
      </c>
      <c r="E135">
        <v>45504</v>
      </c>
      <c r="F135">
        <v>10960</v>
      </c>
      <c r="G135" t="s">
        <v>25</v>
      </c>
      <c r="H135" t="str">
        <f>INDEX([1]CUSTOMER_DATA!B:B, MATCH(B135, [1]CUSTOMER_DATA!A:A, 0))</f>
        <v>Corporate</v>
      </c>
      <c r="I135" t="str">
        <f>IFERROR(
    INDEX([1]CUSTOMER_DATA!C:C, MATCH(B135, [1]CUSTOMER_DATA!A:A, 0)),
    "Unknown"
)</f>
        <v>Mumbai</v>
      </c>
      <c r="J135" t="str">
        <f>IF(F135&gt;=20000,"high",IF(F135&gt;15000,"medium","low"))</f>
        <v>low</v>
      </c>
      <c r="K135" s="10">
        <f>IF(J136="high",0.1,IF(J136="medium",0.07,0.05))</f>
        <v>0.1</v>
      </c>
      <c r="L135" s="9">
        <f>PRODUCT(F135:K135)</f>
        <v>1096</v>
      </c>
    </row>
    <row r="136" spans="1:12" x14ac:dyDescent="0.35">
      <c r="A136">
        <v>235</v>
      </c>
      <c r="B136" t="s">
        <v>34</v>
      </c>
      <c r="C136" t="s">
        <v>23</v>
      </c>
      <c r="D136" t="s">
        <v>16</v>
      </c>
      <c r="E136">
        <v>44483</v>
      </c>
      <c r="F136">
        <v>20000</v>
      </c>
      <c r="G136" t="s">
        <v>19</v>
      </c>
      <c r="H136" t="str">
        <f>INDEX([1]CUSTOMER_DATA!B:B, MATCH(B136, [1]CUSTOMER_DATA!A:A, 0))</f>
        <v>SMB</v>
      </c>
      <c r="I136" t="str">
        <f>IFERROR(
    INDEX([1]CUSTOMER_DATA!C:C, MATCH(B136, [1]CUSTOMER_DATA!A:A, 0)),
    "Unknown"
)</f>
        <v>Jaipur</v>
      </c>
      <c r="J136" t="str">
        <f>IF(F136&gt;=20000,"high",IF(F136&gt;15000,"medium","low"))</f>
        <v>high</v>
      </c>
      <c r="K136" s="10">
        <f>IF(J137="high",0.1,IF(J137="medium",0.07,0.05))</f>
        <v>0.05</v>
      </c>
      <c r="L136" s="9">
        <f>PRODUCT(F136:K136)</f>
        <v>1000</v>
      </c>
    </row>
    <row r="137" spans="1:12" x14ac:dyDescent="0.35">
      <c r="A137">
        <v>236</v>
      </c>
      <c r="B137" t="s">
        <v>32</v>
      </c>
      <c r="C137" t="s">
        <v>17</v>
      </c>
      <c r="D137" t="s">
        <v>30</v>
      </c>
      <c r="E137">
        <v>44333</v>
      </c>
      <c r="F137">
        <v>11654</v>
      </c>
      <c r="G137" t="s">
        <v>19</v>
      </c>
      <c r="H137" t="str">
        <f>INDEX([1]CUSTOMER_DATA!B:B, MATCH(B137, [1]CUSTOMER_DATA!A:A, 0))</f>
        <v>Retail</v>
      </c>
      <c r="I137" t="str">
        <f>IFERROR(
    INDEX([1]CUSTOMER_DATA!C:C, MATCH(B137, [1]CUSTOMER_DATA!A:A, 0)),
    "Unknown"
)</f>
        <v>Delhi</v>
      </c>
      <c r="J137" t="str">
        <f>IF(F137&gt;=20000,"high",IF(F137&gt;15000,"medium","low"))</f>
        <v>low</v>
      </c>
      <c r="K137" s="10">
        <f>IF(J138="high",0.1,IF(J138="medium",0.07,0.05))</f>
        <v>0.05</v>
      </c>
      <c r="L137" s="9">
        <f>PRODUCT(F137:K137)</f>
        <v>582.70000000000005</v>
      </c>
    </row>
    <row r="138" spans="1:12" x14ac:dyDescent="0.35">
      <c r="A138">
        <v>237</v>
      </c>
      <c r="B138" t="s">
        <v>32</v>
      </c>
      <c r="C138" t="s">
        <v>31</v>
      </c>
      <c r="D138" t="s">
        <v>16</v>
      </c>
      <c r="E138">
        <v>44955</v>
      </c>
      <c r="F138">
        <v>13498</v>
      </c>
      <c r="G138" t="s">
        <v>19</v>
      </c>
      <c r="H138" t="str">
        <f>INDEX([1]CUSTOMER_DATA!B:B, MATCH(B138, [1]CUSTOMER_DATA!A:A, 0))</f>
        <v>Retail</v>
      </c>
      <c r="I138" t="str">
        <f>IFERROR(
    INDEX([1]CUSTOMER_DATA!C:C, MATCH(B138, [1]CUSTOMER_DATA!A:A, 0)),
    "Unknown"
)</f>
        <v>Delhi</v>
      </c>
      <c r="J138" t="str">
        <f>IF(F138&gt;=20000,"high",IF(F138&gt;15000,"medium","low"))</f>
        <v>low</v>
      </c>
      <c r="K138" s="10">
        <f>IF(J139="high",0.1,IF(J139="medium",0.07,0.05))</f>
        <v>7.0000000000000007E-2</v>
      </c>
      <c r="L138" s="9">
        <f>PRODUCT(F138:K138)</f>
        <v>944.86000000000013</v>
      </c>
    </row>
    <row r="139" spans="1:12" x14ac:dyDescent="0.35">
      <c r="A139">
        <v>238</v>
      </c>
      <c r="B139" t="s">
        <v>27</v>
      </c>
      <c r="C139" t="s">
        <v>21</v>
      </c>
      <c r="D139" t="s">
        <v>16</v>
      </c>
      <c r="E139">
        <v>46110</v>
      </c>
      <c r="F139">
        <v>18665</v>
      </c>
      <c r="G139" t="s">
        <v>19</v>
      </c>
      <c r="H139" t="str">
        <f>INDEX([1]CUSTOMER_DATA!B:B, MATCH(B139, [1]CUSTOMER_DATA!A:A, 0))</f>
        <v>Corporate</v>
      </c>
      <c r="I139" t="str">
        <f>IFERROR(
    INDEX([1]CUSTOMER_DATA!C:C, MATCH(B139, [1]CUSTOMER_DATA!A:A, 0)),
    "Unknown"
)</f>
        <v>Mumbai</v>
      </c>
      <c r="J139" t="str">
        <f>IF(F139&gt;=20000,"high",IF(F139&gt;15000,"medium","low"))</f>
        <v>medium</v>
      </c>
      <c r="K139" s="10">
        <f>IF(J140="high",0.1,IF(J140="medium",0.07,0.05))</f>
        <v>0.1</v>
      </c>
      <c r="L139" s="9">
        <f>PRODUCT(F139:K139)</f>
        <v>1866.5</v>
      </c>
    </row>
    <row r="140" spans="1:12" x14ac:dyDescent="0.35">
      <c r="A140">
        <v>239</v>
      </c>
      <c r="B140" t="s">
        <v>33</v>
      </c>
      <c r="C140" t="s">
        <v>31</v>
      </c>
      <c r="D140" t="s">
        <v>16</v>
      </c>
      <c r="E140">
        <v>45925</v>
      </c>
      <c r="F140">
        <v>20000</v>
      </c>
      <c r="G140" t="s">
        <v>15</v>
      </c>
      <c r="H140" t="str">
        <f>INDEX([1]CUSTOMER_DATA!B:B, MATCH(B140, [1]CUSTOMER_DATA!A:A, 0))</f>
        <v>Corporate</v>
      </c>
      <c r="I140" t="str">
        <f>IFERROR(
    INDEX([1]CUSTOMER_DATA!C:C, MATCH(B140, [1]CUSTOMER_DATA!A:A, 0)),
    "Unknown"
)</f>
        <v>Surat</v>
      </c>
      <c r="J140" t="str">
        <f>IF(F140&gt;=20000,"high",IF(F140&gt;15000,"medium","low"))</f>
        <v>high</v>
      </c>
      <c r="K140" s="10">
        <f>IF(J141="high",0.1,IF(J141="medium",0.07,0.05))</f>
        <v>7.0000000000000007E-2</v>
      </c>
      <c r="L140" s="9">
        <f>PRODUCT(F140:K140)</f>
        <v>1400.0000000000002</v>
      </c>
    </row>
    <row r="141" spans="1:12" x14ac:dyDescent="0.35">
      <c r="A141">
        <v>240</v>
      </c>
      <c r="B141" t="s">
        <v>27</v>
      </c>
      <c r="C141" t="s">
        <v>31</v>
      </c>
      <c r="D141" t="s">
        <v>16</v>
      </c>
      <c r="E141">
        <v>44504</v>
      </c>
      <c r="F141">
        <v>15341</v>
      </c>
      <c r="G141" t="s">
        <v>15</v>
      </c>
      <c r="H141" t="str">
        <f>INDEX([1]CUSTOMER_DATA!B:B, MATCH(B141, [1]CUSTOMER_DATA!A:A, 0))</f>
        <v>Corporate</v>
      </c>
      <c r="I141" t="str">
        <f>IFERROR(
    INDEX([1]CUSTOMER_DATA!C:C, MATCH(B141, [1]CUSTOMER_DATA!A:A, 0)),
    "Unknown"
)</f>
        <v>Mumbai</v>
      </c>
      <c r="J141" t="str">
        <f>IF(F141&gt;=20000,"high",IF(F141&gt;15000,"medium","low"))</f>
        <v>medium</v>
      </c>
      <c r="K141" s="10">
        <f>IF(J142="high",0.1,IF(J142="medium",0.07,0.05))</f>
        <v>0.05</v>
      </c>
      <c r="L141" s="9">
        <f>PRODUCT(F141:K141)</f>
        <v>767.05000000000007</v>
      </c>
    </row>
    <row r="142" spans="1:12" x14ac:dyDescent="0.35">
      <c r="A142">
        <v>241</v>
      </c>
      <c r="B142" t="s">
        <v>27</v>
      </c>
      <c r="C142" t="s">
        <v>21</v>
      </c>
      <c r="D142" t="s">
        <v>20</v>
      </c>
      <c r="E142">
        <v>45967</v>
      </c>
      <c r="F142">
        <v>11012</v>
      </c>
      <c r="G142" t="s">
        <v>15</v>
      </c>
      <c r="H142" t="str">
        <f>INDEX([1]CUSTOMER_DATA!B:B, MATCH(B142, [1]CUSTOMER_DATA!A:A, 0))</f>
        <v>Corporate</v>
      </c>
      <c r="I142" t="str">
        <f>IFERROR(
    INDEX([1]CUSTOMER_DATA!C:C, MATCH(B142, [1]CUSTOMER_DATA!A:A, 0)),
    "Unknown"
)</f>
        <v>Mumbai</v>
      </c>
      <c r="J142" t="str">
        <f>IF(F142&gt;=20000,"high",IF(F142&gt;15000,"medium","low"))</f>
        <v>low</v>
      </c>
      <c r="K142" s="10">
        <f>IF(J143="high",0.1,IF(J143="medium",0.07,0.05))</f>
        <v>0.05</v>
      </c>
      <c r="L142" s="9">
        <f>PRODUCT(F142:K142)</f>
        <v>550.6</v>
      </c>
    </row>
    <row r="143" spans="1:12" x14ac:dyDescent="0.35">
      <c r="A143">
        <v>242</v>
      </c>
      <c r="B143" t="s">
        <v>32</v>
      </c>
      <c r="C143" t="s">
        <v>31</v>
      </c>
      <c r="D143" t="s">
        <v>30</v>
      </c>
      <c r="E143">
        <v>45486</v>
      </c>
      <c r="F143">
        <v>12378</v>
      </c>
      <c r="G143" t="s">
        <v>29</v>
      </c>
      <c r="H143" t="str">
        <f>INDEX([1]CUSTOMER_DATA!B:B, MATCH(B143, [1]CUSTOMER_DATA!A:A, 0))</f>
        <v>Retail</v>
      </c>
      <c r="I143" t="str">
        <f>IFERROR(
    INDEX([1]CUSTOMER_DATA!C:C, MATCH(B143, [1]CUSTOMER_DATA!A:A, 0)),
    "Unknown"
)</f>
        <v>Delhi</v>
      </c>
      <c r="J143" t="str">
        <f>IF(F143&gt;=20000,"high",IF(F143&gt;15000,"medium","low"))</f>
        <v>low</v>
      </c>
      <c r="K143" s="10">
        <f>IF(J144="high",0.1,IF(J144="medium",0.07,0.05))</f>
        <v>0.05</v>
      </c>
      <c r="L143" s="9">
        <f>PRODUCT(F143:K143)</f>
        <v>618.90000000000009</v>
      </c>
    </row>
    <row r="144" spans="1:12" x14ac:dyDescent="0.35">
      <c r="A144">
        <v>243</v>
      </c>
      <c r="B144" t="s">
        <v>28</v>
      </c>
      <c r="C144" t="s">
        <v>17</v>
      </c>
      <c r="D144" t="s">
        <v>16</v>
      </c>
      <c r="E144">
        <v>45024</v>
      </c>
      <c r="F144">
        <v>14439</v>
      </c>
      <c r="G144" t="s">
        <v>19</v>
      </c>
      <c r="H144" t="str">
        <f>INDEX([1]CUSTOMER_DATA!B:B, MATCH(B144, [1]CUSTOMER_DATA!A:A, 0))</f>
        <v>SMB</v>
      </c>
      <c r="I144" t="str">
        <f>IFERROR(
    INDEX([1]CUSTOMER_DATA!C:C, MATCH(B144, [1]CUSTOMER_DATA!A:A, 0)),
    "Unknown"
)</f>
        <v>Chennai</v>
      </c>
      <c r="J144" t="str">
        <f>IF(F144&gt;=20000,"high",IF(F144&gt;15000,"medium","low"))</f>
        <v>low</v>
      </c>
      <c r="K144" s="10">
        <f>IF(J145="high",0.1,IF(J145="medium",0.07,0.05))</f>
        <v>0.1</v>
      </c>
      <c r="L144" s="9">
        <f>PRODUCT(F144:K144)</f>
        <v>1443.9</v>
      </c>
    </row>
    <row r="145" spans="1:12" x14ac:dyDescent="0.35">
      <c r="A145">
        <v>244</v>
      </c>
      <c r="B145" t="s">
        <v>27</v>
      </c>
      <c r="C145" t="s">
        <v>23</v>
      </c>
      <c r="D145" t="s">
        <v>26</v>
      </c>
      <c r="E145">
        <v>44357</v>
      </c>
      <c r="F145">
        <v>20000</v>
      </c>
      <c r="G145" t="s">
        <v>25</v>
      </c>
      <c r="H145" t="str">
        <f>INDEX([1]CUSTOMER_DATA!B:B, MATCH(B145, [1]CUSTOMER_DATA!A:A, 0))</f>
        <v>Corporate</v>
      </c>
      <c r="I145" t="str">
        <f>IFERROR(
    INDEX([1]CUSTOMER_DATA!C:C, MATCH(B145, [1]CUSTOMER_DATA!A:A, 0)),
    "Unknown"
)</f>
        <v>Mumbai</v>
      </c>
      <c r="J145" t="str">
        <f>IF(F145&gt;=20000,"high",IF(F145&gt;15000,"medium","low"))</f>
        <v>high</v>
      </c>
      <c r="K145" s="10">
        <f>IF(J146="high",0.1,IF(J146="medium",0.07,0.05))</f>
        <v>7.0000000000000007E-2</v>
      </c>
      <c r="L145" s="9">
        <f>PRODUCT(F145:K145)</f>
        <v>1400.0000000000002</v>
      </c>
    </row>
    <row r="146" spans="1:12" x14ac:dyDescent="0.35">
      <c r="A146">
        <v>245</v>
      </c>
      <c r="B146" t="s">
        <v>24</v>
      </c>
      <c r="C146" t="s">
        <v>23</v>
      </c>
      <c r="D146" t="s">
        <v>20</v>
      </c>
      <c r="E146">
        <v>43958</v>
      </c>
      <c r="F146">
        <v>19524</v>
      </c>
      <c r="G146" t="s">
        <v>15</v>
      </c>
      <c r="H146" t="str">
        <f>INDEX([1]CUSTOMER_DATA!B:B, MATCH(B146, [1]CUSTOMER_DATA!A:A, 0))</f>
        <v>Corporate</v>
      </c>
      <c r="I146" t="str">
        <f>IFERROR(
    INDEX([1]CUSTOMER_DATA!C:C, MATCH(B146, [1]CUSTOMER_DATA!A:A, 0)),
    "Unknown"
)</f>
        <v>Ahmedabad</v>
      </c>
      <c r="J146" t="str">
        <f>IF(F146&gt;=20000,"high",IF(F146&gt;15000,"medium","low"))</f>
        <v>medium</v>
      </c>
      <c r="K146" s="10">
        <f>IF(J147="high",0.1,IF(J147="medium",0.07,0.05))</f>
        <v>7.0000000000000007E-2</v>
      </c>
      <c r="L146" s="9">
        <f>PRODUCT(F146:K146)</f>
        <v>1366.68</v>
      </c>
    </row>
    <row r="147" spans="1:12" x14ac:dyDescent="0.35">
      <c r="A147">
        <v>246</v>
      </c>
      <c r="B147" t="s">
        <v>22</v>
      </c>
      <c r="C147" t="s">
        <v>21</v>
      </c>
      <c r="D147" t="s">
        <v>20</v>
      </c>
      <c r="E147">
        <v>45546</v>
      </c>
      <c r="F147">
        <v>15459</v>
      </c>
      <c r="G147" t="s">
        <v>19</v>
      </c>
      <c r="H147" t="str">
        <f>INDEX([1]CUSTOMER_DATA!B:B, MATCH(B147, [1]CUSTOMER_DATA!A:A, 0))</f>
        <v>Retail</v>
      </c>
      <c r="I147" t="str">
        <f>IFERROR(
    INDEX([1]CUSTOMER_DATA!C:C, MATCH(B147, [1]CUSTOMER_DATA!A:A, 0)),
    "Unknown"
)</f>
        <v>Kolkata</v>
      </c>
      <c r="J147" t="str">
        <f>IF(F147&gt;=20000,"high",IF(F147&gt;15000,"medium","low"))</f>
        <v>medium</v>
      </c>
      <c r="K147" s="10">
        <f>IF(J148="high",0.1,IF(J148="medium",0.07,0.05))</f>
        <v>7.0000000000000007E-2</v>
      </c>
      <c r="L147" s="9">
        <f>PRODUCT(F147:K147)</f>
        <v>1082.1300000000001</v>
      </c>
    </row>
    <row r="148" spans="1:12" x14ac:dyDescent="0.35">
      <c r="A148">
        <v>247</v>
      </c>
      <c r="B148" t="s">
        <v>18</v>
      </c>
      <c r="C148" t="s">
        <v>17</v>
      </c>
      <c r="D148" t="s">
        <v>16</v>
      </c>
      <c r="E148">
        <v>44035</v>
      </c>
      <c r="F148">
        <v>15496</v>
      </c>
      <c r="G148" t="s">
        <v>29</v>
      </c>
      <c r="H148" t="str">
        <f>INDEX([1]CUSTOMER_DATA!B:B, MATCH(B148, [1]CUSTOMER_DATA!A:A, 0))</f>
        <v>SMB</v>
      </c>
      <c r="I148" t="str">
        <f>IFERROR(
    INDEX([1]CUSTOMER_DATA!C:C, MATCH(B148, [1]CUSTOMER_DATA!A:A, 0)),
    "Unknown"
)</f>
        <v>Pune</v>
      </c>
      <c r="J148" t="str">
        <f>IF(F148&gt;=20000,"high",IF(F148&gt;15000,"medium","low"))</f>
        <v>medium</v>
      </c>
      <c r="K148" s="10">
        <f>IF(J149="high",0.1,IF(J149="medium",0.07,0.05))</f>
        <v>7.0000000000000007E-2</v>
      </c>
      <c r="L148" s="9">
        <f>PRODUCT(F148:K148)</f>
        <v>1084.72</v>
      </c>
    </row>
    <row r="149" spans="1:12" x14ac:dyDescent="0.35">
      <c r="A149">
        <v>248</v>
      </c>
      <c r="B149" t="s">
        <v>27</v>
      </c>
      <c r="C149" t="s">
        <v>31</v>
      </c>
      <c r="D149" t="s">
        <v>30</v>
      </c>
      <c r="E149">
        <v>45410</v>
      </c>
      <c r="F149">
        <v>17064</v>
      </c>
      <c r="G149" t="s">
        <v>25</v>
      </c>
      <c r="H149" t="str">
        <f>INDEX([1]CUSTOMER_DATA!B:B, MATCH(B149, [1]CUSTOMER_DATA!A:A, 0))</f>
        <v>Corporate</v>
      </c>
      <c r="I149" t="str">
        <f>IFERROR(
    INDEX([1]CUSTOMER_DATA!C:C, MATCH(B149, [1]CUSTOMER_DATA!A:A, 0)),
    "Unknown"
)</f>
        <v>Mumbai</v>
      </c>
      <c r="J149" t="str">
        <f>IF(F149&gt;=20000,"high",IF(F149&gt;15000,"medium","low"))</f>
        <v>medium</v>
      </c>
      <c r="K149" s="10">
        <f>IF(J150="high",0.1,IF(J150="medium",0.07,0.05))</f>
        <v>0.05</v>
      </c>
      <c r="L149" s="9">
        <f>PRODUCT(F149:K149)</f>
        <v>853.2</v>
      </c>
    </row>
    <row r="150" spans="1:12" x14ac:dyDescent="0.35">
      <c r="A150">
        <v>249</v>
      </c>
      <c r="B150" t="s">
        <v>36</v>
      </c>
      <c r="C150" t="s">
        <v>23</v>
      </c>
      <c r="D150" t="s">
        <v>30</v>
      </c>
      <c r="E150">
        <v>44926</v>
      </c>
      <c r="F150">
        <v>12546</v>
      </c>
      <c r="G150" t="s">
        <v>19</v>
      </c>
      <c r="H150" t="str">
        <f>INDEX([1]CUSTOMER_DATA!B:B, MATCH(B150, [1]CUSTOMER_DATA!A:A, 0))</f>
        <v>Retail</v>
      </c>
      <c r="I150" t="str">
        <f>IFERROR(
    INDEX([1]CUSTOMER_DATA!C:C, MATCH(B150, [1]CUSTOMER_DATA!A:A, 0)),
    "Unknown"
)</f>
        <v>Hyderabad</v>
      </c>
      <c r="J150" t="str">
        <f>IF(F150&gt;=20000,"high",IF(F150&gt;15000,"medium","low"))</f>
        <v>low</v>
      </c>
      <c r="K150" s="10">
        <f>IF(J151="high",0.1,IF(J151="medium",0.07,0.05))</f>
        <v>0.05</v>
      </c>
      <c r="L150" s="9">
        <f>PRODUCT(F150:K150)</f>
        <v>627.30000000000007</v>
      </c>
    </row>
    <row r="151" spans="1:12" x14ac:dyDescent="0.35">
      <c r="A151">
        <v>250</v>
      </c>
      <c r="B151" t="s">
        <v>35</v>
      </c>
      <c r="C151" t="s">
        <v>23</v>
      </c>
      <c r="D151" t="s">
        <v>20</v>
      </c>
      <c r="E151">
        <v>44686</v>
      </c>
      <c r="F151">
        <v>12480</v>
      </c>
      <c r="G151" t="s">
        <v>25</v>
      </c>
      <c r="H151" t="str">
        <f>INDEX([1]CUSTOMER_DATA!B:B, MATCH(B151, [1]CUSTOMER_DATA!A:A, 0))</f>
        <v>Corporate</v>
      </c>
      <c r="I151" t="str">
        <f>IFERROR(
    INDEX([1]CUSTOMER_DATA!C:C, MATCH(B151, [1]CUSTOMER_DATA!A:A, 0)),
    "Unknown"
)</f>
        <v>Bangalore</v>
      </c>
      <c r="J151" t="str">
        <f>IF(F151&gt;=20000,"high",IF(F151&gt;15000,"medium","low"))</f>
        <v>low</v>
      </c>
      <c r="K151" s="10">
        <f>IF(J152="high",0.1,IF(J152="medium",0.07,0.05))</f>
        <v>0.05</v>
      </c>
      <c r="L151" s="9">
        <f>PRODUCT(F151:K151)</f>
        <v>624</v>
      </c>
    </row>
    <row r="152" spans="1:12" x14ac:dyDescent="0.35">
      <c r="A152">
        <v>251</v>
      </c>
      <c r="B152" t="s">
        <v>32</v>
      </c>
      <c r="C152" t="s">
        <v>17</v>
      </c>
      <c r="D152" t="s">
        <v>26</v>
      </c>
      <c r="E152">
        <v>44641</v>
      </c>
      <c r="F152">
        <v>10699</v>
      </c>
      <c r="G152" t="s">
        <v>29</v>
      </c>
      <c r="H152" t="str">
        <f>INDEX([1]CUSTOMER_DATA!B:B, MATCH(B152, [1]CUSTOMER_DATA!A:A, 0))</f>
        <v>Retail</v>
      </c>
      <c r="I152" t="str">
        <f>IFERROR(
    INDEX([1]CUSTOMER_DATA!C:C, MATCH(B152, [1]CUSTOMER_DATA!A:A, 0)),
    "Unknown"
)</f>
        <v>Delhi</v>
      </c>
      <c r="J152" t="str">
        <f>IF(F152&gt;=20000,"high",IF(F152&gt;15000,"medium","low"))</f>
        <v>low</v>
      </c>
      <c r="K152" s="10">
        <f>IF(J153="high",0.1,IF(J153="medium",0.07,0.05))</f>
        <v>0.05</v>
      </c>
      <c r="L152" s="9">
        <f>PRODUCT(F152:K152)</f>
        <v>534.95000000000005</v>
      </c>
    </row>
    <row r="153" spans="1:12" x14ac:dyDescent="0.35">
      <c r="A153">
        <v>252</v>
      </c>
      <c r="B153" t="s">
        <v>27</v>
      </c>
      <c r="C153" t="s">
        <v>21</v>
      </c>
      <c r="D153" t="s">
        <v>26</v>
      </c>
      <c r="E153">
        <v>45504</v>
      </c>
      <c r="F153">
        <v>10960</v>
      </c>
      <c r="G153" t="s">
        <v>25</v>
      </c>
      <c r="H153" t="str">
        <f>INDEX([1]CUSTOMER_DATA!B:B, MATCH(B153, [1]CUSTOMER_DATA!A:A, 0))</f>
        <v>Corporate</v>
      </c>
      <c r="I153" t="str">
        <f>IFERROR(
    INDEX([1]CUSTOMER_DATA!C:C, MATCH(B153, [1]CUSTOMER_DATA!A:A, 0)),
    "Unknown"
)</f>
        <v>Mumbai</v>
      </c>
      <c r="J153" t="str">
        <f>IF(F153&gt;=20000,"high",IF(F153&gt;15000,"medium","low"))</f>
        <v>low</v>
      </c>
      <c r="K153" s="10">
        <f>IF(J154="high",0.1,IF(J154="medium",0.07,0.05))</f>
        <v>0.1</v>
      </c>
      <c r="L153" s="9">
        <f>PRODUCT(F153:K153)</f>
        <v>1096</v>
      </c>
    </row>
    <row r="154" spans="1:12" x14ac:dyDescent="0.35">
      <c r="A154">
        <v>253</v>
      </c>
      <c r="B154" t="s">
        <v>34</v>
      </c>
      <c r="C154" t="s">
        <v>23</v>
      </c>
      <c r="D154" t="s">
        <v>16</v>
      </c>
      <c r="E154">
        <v>44483</v>
      </c>
      <c r="F154">
        <v>20000</v>
      </c>
      <c r="G154" t="s">
        <v>19</v>
      </c>
      <c r="H154" t="str">
        <f>INDEX([1]CUSTOMER_DATA!B:B, MATCH(B154, [1]CUSTOMER_DATA!A:A, 0))</f>
        <v>SMB</v>
      </c>
      <c r="I154" t="str">
        <f>IFERROR(
    INDEX([1]CUSTOMER_DATA!C:C, MATCH(B154, [1]CUSTOMER_DATA!A:A, 0)),
    "Unknown"
)</f>
        <v>Jaipur</v>
      </c>
      <c r="J154" t="str">
        <f>IF(F154&gt;=20000,"high",IF(F154&gt;15000,"medium","low"))</f>
        <v>high</v>
      </c>
      <c r="K154" s="10">
        <f>IF(J155="high",0.1,IF(J155="medium",0.07,0.05))</f>
        <v>0.05</v>
      </c>
      <c r="L154" s="9">
        <f>PRODUCT(F154:K154)</f>
        <v>1000</v>
      </c>
    </row>
    <row r="155" spans="1:12" x14ac:dyDescent="0.35">
      <c r="A155">
        <v>254</v>
      </c>
      <c r="B155" t="s">
        <v>32</v>
      </c>
      <c r="C155" t="s">
        <v>17</v>
      </c>
      <c r="D155" t="s">
        <v>30</v>
      </c>
      <c r="E155">
        <v>44333</v>
      </c>
      <c r="F155">
        <v>11654</v>
      </c>
      <c r="G155" t="s">
        <v>19</v>
      </c>
      <c r="H155" t="str">
        <f>INDEX([1]CUSTOMER_DATA!B:B, MATCH(B155, [1]CUSTOMER_DATA!A:A, 0))</f>
        <v>Retail</v>
      </c>
      <c r="I155" t="str">
        <f>IFERROR(
    INDEX([1]CUSTOMER_DATA!C:C, MATCH(B155, [1]CUSTOMER_DATA!A:A, 0)),
    "Unknown"
)</f>
        <v>Delhi</v>
      </c>
      <c r="J155" t="str">
        <f>IF(F155&gt;=20000,"high",IF(F155&gt;15000,"medium","low"))</f>
        <v>low</v>
      </c>
      <c r="K155" s="10">
        <f>IF(J156="high",0.1,IF(J156="medium",0.07,0.05))</f>
        <v>0.05</v>
      </c>
      <c r="L155" s="9">
        <f>PRODUCT(F155:K155)</f>
        <v>582.70000000000005</v>
      </c>
    </row>
    <row r="156" spans="1:12" x14ac:dyDescent="0.35">
      <c r="A156">
        <v>255</v>
      </c>
      <c r="B156" t="s">
        <v>32</v>
      </c>
      <c r="C156" t="s">
        <v>31</v>
      </c>
      <c r="D156" t="s">
        <v>16</v>
      </c>
      <c r="E156">
        <v>44955</v>
      </c>
      <c r="F156">
        <v>13498</v>
      </c>
      <c r="G156" t="s">
        <v>19</v>
      </c>
      <c r="H156" t="str">
        <f>INDEX([1]CUSTOMER_DATA!B:B, MATCH(B156, [1]CUSTOMER_DATA!A:A, 0))</f>
        <v>Retail</v>
      </c>
      <c r="I156" t="str">
        <f>IFERROR(
    INDEX([1]CUSTOMER_DATA!C:C, MATCH(B156, [1]CUSTOMER_DATA!A:A, 0)),
    "Unknown"
)</f>
        <v>Delhi</v>
      </c>
      <c r="J156" t="str">
        <f>IF(F156&gt;=20000,"high",IF(F156&gt;15000,"medium","low"))</f>
        <v>low</v>
      </c>
      <c r="K156" s="10">
        <f>IF(J157="high",0.1,IF(J157="medium",0.07,0.05))</f>
        <v>7.0000000000000007E-2</v>
      </c>
      <c r="L156" s="9">
        <f>PRODUCT(F156:K156)</f>
        <v>944.86000000000013</v>
      </c>
    </row>
    <row r="157" spans="1:12" x14ac:dyDescent="0.35">
      <c r="A157">
        <v>256</v>
      </c>
      <c r="B157" t="s">
        <v>27</v>
      </c>
      <c r="C157" t="s">
        <v>21</v>
      </c>
      <c r="D157" t="s">
        <v>16</v>
      </c>
      <c r="E157">
        <v>46110</v>
      </c>
      <c r="F157">
        <v>18665</v>
      </c>
      <c r="G157" t="s">
        <v>19</v>
      </c>
      <c r="H157" t="str">
        <f>INDEX([1]CUSTOMER_DATA!B:B, MATCH(B157, [1]CUSTOMER_DATA!A:A, 0))</f>
        <v>Corporate</v>
      </c>
      <c r="I157" t="str">
        <f>IFERROR(
    INDEX([1]CUSTOMER_DATA!C:C, MATCH(B157, [1]CUSTOMER_DATA!A:A, 0)),
    "Unknown"
)</f>
        <v>Mumbai</v>
      </c>
      <c r="J157" t="str">
        <f>IF(F157&gt;=20000,"high",IF(F157&gt;15000,"medium","low"))</f>
        <v>medium</v>
      </c>
      <c r="K157" s="10">
        <f>IF(J158="high",0.1,IF(J158="medium",0.07,0.05))</f>
        <v>0.1</v>
      </c>
      <c r="L157" s="9">
        <f>PRODUCT(F157:K157)</f>
        <v>1866.5</v>
      </c>
    </row>
    <row r="158" spans="1:12" x14ac:dyDescent="0.35">
      <c r="A158">
        <v>257</v>
      </c>
      <c r="B158" t="s">
        <v>33</v>
      </c>
      <c r="C158" t="s">
        <v>31</v>
      </c>
      <c r="D158" t="s">
        <v>16</v>
      </c>
      <c r="E158">
        <v>45925</v>
      </c>
      <c r="F158">
        <v>20000</v>
      </c>
      <c r="G158" t="s">
        <v>15</v>
      </c>
      <c r="H158" t="str">
        <f>INDEX([1]CUSTOMER_DATA!B:B, MATCH(B158, [1]CUSTOMER_DATA!A:A, 0))</f>
        <v>Corporate</v>
      </c>
      <c r="I158" t="str">
        <f>IFERROR(
    INDEX([1]CUSTOMER_DATA!C:C, MATCH(B158, [1]CUSTOMER_DATA!A:A, 0)),
    "Unknown"
)</f>
        <v>Surat</v>
      </c>
      <c r="J158" t="str">
        <f>IF(F158&gt;=20000,"high",IF(F158&gt;15000,"medium","low"))</f>
        <v>high</v>
      </c>
      <c r="K158" s="10">
        <f>IF(J159="high",0.1,IF(J159="medium",0.07,0.05))</f>
        <v>7.0000000000000007E-2</v>
      </c>
      <c r="L158" s="9">
        <f>PRODUCT(F158:K158)</f>
        <v>1400.0000000000002</v>
      </c>
    </row>
    <row r="159" spans="1:12" x14ac:dyDescent="0.35">
      <c r="A159">
        <v>258</v>
      </c>
      <c r="B159" t="s">
        <v>27</v>
      </c>
      <c r="C159" t="s">
        <v>31</v>
      </c>
      <c r="D159" t="s">
        <v>16</v>
      </c>
      <c r="E159">
        <v>44504</v>
      </c>
      <c r="F159">
        <v>15341</v>
      </c>
      <c r="G159" t="s">
        <v>15</v>
      </c>
      <c r="H159" t="str">
        <f>INDEX([1]CUSTOMER_DATA!B:B, MATCH(B159, [1]CUSTOMER_DATA!A:A, 0))</f>
        <v>Corporate</v>
      </c>
      <c r="I159" t="str">
        <f>IFERROR(
    INDEX([1]CUSTOMER_DATA!C:C, MATCH(B159, [1]CUSTOMER_DATA!A:A, 0)),
    "Unknown"
)</f>
        <v>Mumbai</v>
      </c>
      <c r="J159" t="str">
        <f>IF(F159&gt;=20000,"high",IF(F159&gt;15000,"medium","low"))</f>
        <v>medium</v>
      </c>
      <c r="K159" s="10">
        <f>IF(J160="high",0.1,IF(J160="medium",0.07,0.05))</f>
        <v>0.05</v>
      </c>
      <c r="L159" s="9">
        <f>PRODUCT(F159:K159)</f>
        <v>767.05000000000007</v>
      </c>
    </row>
    <row r="160" spans="1:12" x14ac:dyDescent="0.35">
      <c r="A160">
        <v>259</v>
      </c>
      <c r="B160" t="s">
        <v>28</v>
      </c>
      <c r="C160" t="s">
        <v>17</v>
      </c>
      <c r="D160" t="s">
        <v>16</v>
      </c>
      <c r="E160">
        <v>45024</v>
      </c>
      <c r="F160">
        <v>14439</v>
      </c>
      <c r="G160" t="s">
        <v>19</v>
      </c>
      <c r="H160" t="str">
        <f>INDEX([1]CUSTOMER_DATA!B:B, MATCH(B160, [1]CUSTOMER_DATA!A:A, 0))</f>
        <v>SMB</v>
      </c>
      <c r="I160" t="str">
        <f>IFERROR(
    INDEX([1]CUSTOMER_DATA!C:C, MATCH(B160, [1]CUSTOMER_DATA!A:A, 0)),
    "Unknown"
)</f>
        <v>Chennai</v>
      </c>
      <c r="J160" t="str">
        <f>IF(F160&gt;=20000,"high",IF(F160&gt;15000,"medium","low"))</f>
        <v>low</v>
      </c>
      <c r="K160" s="10">
        <f>IF(J161="high",0.1,IF(J161="medium",0.07,0.05))</f>
        <v>0.1</v>
      </c>
      <c r="L160" s="9">
        <f>PRODUCT(F160:K160)</f>
        <v>1443.9</v>
      </c>
    </row>
    <row r="161" spans="1:12" x14ac:dyDescent="0.35">
      <c r="A161">
        <v>260</v>
      </c>
      <c r="B161" t="s">
        <v>27</v>
      </c>
      <c r="C161" t="s">
        <v>23</v>
      </c>
      <c r="D161" t="s">
        <v>26</v>
      </c>
      <c r="E161">
        <v>44357</v>
      </c>
      <c r="F161">
        <v>20000</v>
      </c>
      <c r="G161" t="s">
        <v>25</v>
      </c>
      <c r="H161" t="str">
        <f>INDEX([1]CUSTOMER_DATA!B:B, MATCH(B161, [1]CUSTOMER_DATA!A:A, 0))</f>
        <v>Corporate</v>
      </c>
      <c r="I161" t="str">
        <f>IFERROR(
    INDEX([1]CUSTOMER_DATA!C:C, MATCH(B161, [1]CUSTOMER_DATA!A:A, 0)),
    "Unknown"
)</f>
        <v>Mumbai</v>
      </c>
      <c r="J161" t="str">
        <f>IF(F161&gt;=20000,"high",IF(F161&gt;15000,"medium","low"))</f>
        <v>high</v>
      </c>
      <c r="K161" s="10">
        <f>IF(J162="high",0.1,IF(J162="medium",0.07,0.05))</f>
        <v>7.0000000000000007E-2</v>
      </c>
      <c r="L161" s="9">
        <f>PRODUCT(F161:K161)</f>
        <v>1400.0000000000002</v>
      </c>
    </row>
    <row r="162" spans="1:12" x14ac:dyDescent="0.35">
      <c r="A162">
        <v>261</v>
      </c>
      <c r="B162" t="s">
        <v>24</v>
      </c>
      <c r="C162" t="s">
        <v>23</v>
      </c>
      <c r="D162" t="s">
        <v>20</v>
      </c>
      <c r="E162">
        <v>43958</v>
      </c>
      <c r="F162">
        <v>19524</v>
      </c>
      <c r="G162" t="s">
        <v>15</v>
      </c>
      <c r="H162" t="str">
        <f>INDEX([1]CUSTOMER_DATA!B:B, MATCH(B162, [1]CUSTOMER_DATA!A:A, 0))</f>
        <v>Corporate</v>
      </c>
      <c r="I162" t="str">
        <f>IFERROR(
    INDEX([1]CUSTOMER_DATA!C:C, MATCH(B162, [1]CUSTOMER_DATA!A:A, 0)),
    "Unknown"
)</f>
        <v>Ahmedabad</v>
      </c>
      <c r="J162" t="str">
        <f>IF(F162&gt;=20000,"high",IF(F162&gt;15000,"medium","low"))</f>
        <v>medium</v>
      </c>
      <c r="K162" s="10">
        <f>IF(J163="high",0.1,IF(J163="medium",0.07,0.05))</f>
        <v>7.0000000000000007E-2</v>
      </c>
      <c r="L162" s="9">
        <f>PRODUCT(F162:K162)</f>
        <v>1366.68</v>
      </c>
    </row>
    <row r="163" spans="1:12" x14ac:dyDescent="0.35">
      <c r="A163">
        <v>262</v>
      </c>
      <c r="B163" t="s">
        <v>22</v>
      </c>
      <c r="C163" t="s">
        <v>21</v>
      </c>
      <c r="D163" t="s">
        <v>20</v>
      </c>
      <c r="E163">
        <v>45546</v>
      </c>
      <c r="F163">
        <v>15459</v>
      </c>
      <c r="G163" t="s">
        <v>19</v>
      </c>
      <c r="H163" t="str">
        <f>INDEX([1]CUSTOMER_DATA!B:B, MATCH(B163, [1]CUSTOMER_DATA!A:A, 0))</f>
        <v>Retail</v>
      </c>
      <c r="I163" t="str">
        <f>IFERROR(
    INDEX([1]CUSTOMER_DATA!C:C, MATCH(B163, [1]CUSTOMER_DATA!A:A, 0)),
    "Unknown"
)</f>
        <v>Kolkata</v>
      </c>
      <c r="J163" t="str">
        <f>IF(F163&gt;=20000,"high",IF(F163&gt;15000,"medium","low"))</f>
        <v>medium</v>
      </c>
      <c r="K163" s="10">
        <f>IF(J164="high",0.1,IF(J164="medium",0.07,0.05))</f>
        <v>7.0000000000000007E-2</v>
      </c>
      <c r="L163" s="9">
        <f>PRODUCT(F163:K163)</f>
        <v>1082.1300000000001</v>
      </c>
    </row>
    <row r="164" spans="1:12" x14ac:dyDescent="0.35">
      <c r="A164">
        <v>263</v>
      </c>
      <c r="B164" t="s">
        <v>18</v>
      </c>
      <c r="C164" t="s">
        <v>17</v>
      </c>
      <c r="D164" t="s">
        <v>16</v>
      </c>
      <c r="E164">
        <v>44035</v>
      </c>
      <c r="F164">
        <v>15496</v>
      </c>
      <c r="G164" t="s">
        <v>29</v>
      </c>
      <c r="H164" t="str">
        <f>INDEX([1]CUSTOMER_DATA!B:B, MATCH(B164, [1]CUSTOMER_DATA!A:A, 0))</f>
        <v>SMB</v>
      </c>
      <c r="I164" t="str">
        <f>IFERROR(
    INDEX([1]CUSTOMER_DATA!C:C, MATCH(B164, [1]CUSTOMER_DATA!A:A, 0)),
    "Unknown"
)</f>
        <v>Pune</v>
      </c>
      <c r="J164" t="str">
        <f>IF(F164&gt;=20000,"high",IF(F164&gt;15000,"medium","low"))</f>
        <v>medium</v>
      </c>
      <c r="K164" s="10">
        <f>IF(J165="high",0.1,IF(J165="medium",0.07,0.05))</f>
        <v>7.0000000000000007E-2</v>
      </c>
      <c r="L164" s="9">
        <f>PRODUCT(F164:K164)</f>
        <v>1084.72</v>
      </c>
    </row>
    <row r="165" spans="1:12" x14ac:dyDescent="0.35">
      <c r="A165">
        <v>264</v>
      </c>
      <c r="B165" t="s">
        <v>27</v>
      </c>
      <c r="C165" t="s">
        <v>31</v>
      </c>
      <c r="D165" t="s">
        <v>30</v>
      </c>
      <c r="E165">
        <v>45410</v>
      </c>
      <c r="F165">
        <v>17064</v>
      </c>
      <c r="G165" t="s">
        <v>25</v>
      </c>
      <c r="H165" t="str">
        <f>INDEX([1]CUSTOMER_DATA!B:B, MATCH(B165, [1]CUSTOMER_DATA!A:A, 0))</f>
        <v>Corporate</v>
      </c>
      <c r="I165" t="str">
        <f>IFERROR(
    INDEX([1]CUSTOMER_DATA!C:C, MATCH(B165, [1]CUSTOMER_DATA!A:A, 0)),
    "Unknown"
)</f>
        <v>Mumbai</v>
      </c>
      <c r="J165" t="str">
        <f>IF(F165&gt;=20000,"high",IF(F165&gt;15000,"medium","low"))</f>
        <v>medium</v>
      </c>
      <c r="K165" s="10">
        <f>IF(J166="high",0.1,IF(J166="medium",0.07,0.05))</f>
        <v>0.05</v>
      </c>
      <c r="L165" s="9">
        <f>PRODUCT(F165:K165)</f>
        <v>853.2</v>
      </c>
    </row>
    <row r="166" spans="1:12" x14ac:dyDescent="0.35">
      <c r="A166">
        <v>265</v>
      </c>
      <c r="B166" t="s">
        <v>36</v>
      </c>
      <c r="C166" t="s">
        <v>23</v>
      </c>
      <c r="D166" t="s">
        <v>30</v>
      </c>
      <c r="E166">
        <v>44926</v>
      </c>
      <c r="F166">
        <v>12546</v>
      </c>
      <c r="G166" t="s">
        <v>19</v>
      </c>
      <c r="H166" t="str">
        <f>INDEX([1]CUSTOMER_DATA!B:B, MATCH(B166, [1]CUSTOMER_DATA!A:A, 0))</f>
        <v>Retail</v>
      </c>
      <c r="I166" t="str">
        <f>IFERROR(
    INDEX([1]CUSTOMER_DATA!C:C, MATCH(B166, [1]CUSTOMER_DATA!A:A, 0)),
    "Unknown"
)</f>
        <v>Hyderabad</v>
      </c>
      <c r="J166" t="str">
        <f>IF(F166&gt;=20000,"high",IF(F166&gt;15000,"medium","low"))</f>
        <v>low</v>
      </c>
      <c r="K166" s="10">
        <f>IF(J167="high",0.1,IF(J167="medium",0.07,0.05))</f>
        <v>0.05</v>
      </c>
      <c r="L166" s="9">
        <f>PRODUCT(F166:K166)</f>
        <v>627.30000000000007</v>
      </c>
    </row>
    <row r="167" spans="1:12" x14ac:dyDescent="0.35">
      <c r="A167">
        <v>266</v>
      </c>
      <c r="B167" t="s">
        <v>35</v>
      </c>
      <c r="C167" t="s">
        <v>23</v>
      </c>
      <c r="D167" t="s">
        <v>20</v>
      </c>
      <c r="E167">
        <v>44686</v>
      </c>
      <c r="F167">
        <v>12480</v>
      </c>
      <c r="G167" t="s">
        <v>25</v>
      </c>
      <c r="H167" t="str">
        <f>INDEX([1]CUSTOMER_DATA!B:B, MATCH(B167, [1]CUSTOMER_DATA!A:A, 0))</f>
        <v>Corporate</v>
      </c>
      <c r="I167" t="str">
        <f>IFERROR(
    INDEX([1]CUSTOMER_DATA!C:C, MATCH(B167, [1]CUSTOMER_DATA!A:A, 0)),
    "Unknown"
)</f>
        <v>Bangalore</v>
      </c>
      <c r="J167" t="str">
        <f>IF(F167&gt;=20000,"high",IF(F167&gt;15000,"medium","low"))</f>
        <v>low</v>
      </c>
      <c r="K167" s="10">
        <f>IF(J168="high",0.1,IF(J168="medium",0.07,0.05))</f>
        <v>0.05</v>
      </c>
      <c r="L167" s="9">
        <f>PRODUCT(F167:K167)</f>
        <v>624</v>
      </c>
    </row>
    <row r="168" spans="1:12" x14ac:dyDescent="0.35">
      <c r="A168">
        <v>267</v>
      </c>
      <c r="B168" t="s">
        <v>32</v>
      </c>
      <c r="C168" t="s">
        <v>17</v>
      </c>
      <c r="D168" t="s">
        <v>26</v>
      </c>
      <c r="E168">
        <v>44641</v>
      </c>
      <c r="F168">
        <v>10699</v>
      </c>
      <c r="G168" t="s">
        <v>29</v>
      </c>
      <c r="H168" t="str">
        <f>INDEX([1]CUSTOMER_DATA!B:B, MATCH(B168, [1]CUSTOMER_DATA!A:A, 0))</f>
        <v>Retail</v>
      </c>
      <c r="I168" t="str">
        <f>IFERROR(
    INDEX([1]CUSTOMER_DATA!C:C, MATCH(B168, [1]CUSTOMER_DATA!A:A, 0)),
    "Unknown"
)</f>
        <v>Delhi</v>
      </c>
      <c r="J168" t="str">
        <f>IF(F168&gt;=20000,"high",IF(F168&gt;15000,"medium","low"))</f>
        <v>low</v>
      </c>
      <c r="K168" s="10">
        <f>IF(J169="high",0.1,IF(J169="medium",0.07,0.05))</f>
        <v>0.05</v>
      </c>
      <c r="L168" s="9">
        <f>PRODUCT(F168:K168)</f>
        <v>534.95000000000005</v>
      </c>
    </row>
    <row r="169" spans="1:12" x14ac:dyDescent="0.35">
      <c r="A169">
        <v>268</v>
      </c>
      <c r="B169" t="s">
        <v>27</v>
      </c>
      <c r="C169" t="s">
        <v>21</v>
      </c>
      <c r="D169" t="s">
        <v>26</v>
      </c>
      <c r="E169">
        <v>45504</v>
      </c>
      <c r="F169">
        <v>10960</v>
      </c>
      <c r="G169" t="s">
        <v>25</v>
      </c>
      <c r="H169" t="str">
        <f>INDEX([1]CUSTOMER_DATA!B:B, MATCH(B169, [1]CUSTOMER_DATA!A:A, 0))</f>
        <v>Corporate</v>
      </c>
      <c r="I169" t="str">
        <f>IFERROR(
    INDEX([1]CUSTOMER_DATA!C:C, MATCH(B169, [1]CUSTOMER_DATA!A:A, 0)),
    "Unknown"
)</f>
        <v>Mumbai</v>
      </c>
      <c r="J169" t="str">
        <f>IF(F169&gt;=20000,"high",IF(F169&gt;15000,"medium","low"))</f>
        <v>low</v>
      </c>
      <c r="K169" s="10">
        <f>IF(J170="high",0.1,IF(J170="medium",0.07,0.05))</f>
        <v>0.1</v>
      </c>
      <c r="L169" s="9">
        <f>PRODUCT(F169:K169)</f>
        <v>1096</v>
      </c>
    </row>
    <row r="170" spans="1:12" x14ac:dyDescent="0.35">
      <c r="A170">
        <v>269</v>
      </c>
      <c r="B170" t="s">
        <v>34</v>
      </c>
      <c r="C170" t="s">
        <v>23</v>
      </c>
      <c r="D170" t="s">
        <v>16</v>
      </c>
      <c r="E170">
        <v>44483</v>
      </c>
      <c r="F170">
        <v>20000</v>
      </c>
      <c r="G170" t="s">
        <v>19</v>
      </c>
      <c r="H170" t="str">
        <f>INDEX([1]CUSTOMER_DATA!B:B, MATCH(B170, [1]CUSTOMER_DATA!A:A, 0))</f>
        <v>SMB</v>
      </c>
      <c r="I170" t="str">
        <f>IFERROR(
    INDEX([1]CUSTOMER_DATA!C:C, MATCH(B170, [1]CUSTOMER_DATA!A:A, 0)),
    "Unknown"
)</f>
        <v>Jaipur</v>
      </c>
      <c r="J170" t="str">
        <f>IF(F170&gt;=20000,"high",IF(F170&gt;15000,"medium","low"))</f>
        <v>high</v>
      </c>
      <c r="K170" s="10">
        <f>IF(J171="high",0.1,IF(J171="medium",0.07,0.05))</f>
        <v>0.05</v>
      </c>
      <c r="L170" s="9">
        <f>PRODUCT(F170:K170)</f>
        <v>1000</v>
      </c>
    </row>
    <row r="171" spans="1:12" x14ac:dyDescent="0.35">
      <c r="A171">
        <v>270</v>
      </c>
      <c r="B171" t="s">
        <v>32</v>
      </c>
      <c r="C171" t="s">
        <v>17</v>
      </c>
      <c r="D171" t="s">
        <v>30</v>
      </c>
      <c r="E171">
        <v>44333</v>
      </c>
      <c r="F171">
        <v>11654</v>
      </c>
      <c r="G171" t="s">
        <v>19</v>
      </c>
      <c r="H171" t="str">
        <f>INDEX([1]CUSTOMER_DATA!B:B, MATCH(B171, [1]CUSTOMER_DATA!A:A, 0))</f>
        <v>Retail</v>
      </c>
      <c r="I171" t="str">
        <f>IFERROR(
    INDEX([1]CUSTOMER_DATA!C:C, MATCH(B171, [1]CUSTOMER_DATA!A:A, 0)),
    "Unknown"
)</f>
        <v>Delhi</v>
      </c>
      <c r="J171" t="str">
        <f>IF(F171&gt;=20000,"high",IF(F171&gt;15000,"medium","low"))</f>
        <v>low</v>
      </c>
      <c r="K171" s="10">
        <f>IF(J172="high",0.1,IF(J172="medium",0.07,0.05))</f>
        <v>0.05</v>
      </c>
      <c r="L171" s="9">
        <f>PRODUCT(F171:K171)</f>
        <v>582.70000000000005</v>
      </c>
    </row>
    <row r="172" spans="1:12" x14ac:dyDescent="0.35">
      <c r="A172">
        <v>271</v>
      </c>
      <c r="B172" t="s">
        <v>32</v>
      </c>
      <c r="C172" t="s">
        <v>31</v>
      </c>
      <c r="D172" t="s">
        <v>16</v>
      </c>
      <c r="E172">
        <v>44955</v>
      </c>
      <c r="F172">
        <v>13498</v>
      </c>
      <c r="G172" t="s">
        <v>19</v>
      </c>
      <c r="H172" t="str">
        <f>INDEX([1]CUSTOMER_DATA!B:B, MATCH(B172, [1]CUSTOMER_DATA!A:A, 0))</f>
        <v>Retail</v>
      </c>
      <c r="I172" t="str">
        <f>IFERROR(
    INDEX([1]CUSTOMER_DATA!C:C, MATCH(B172, [1]CUSTOMER_DATA!A:A, 0)),
    "Unknown"
)</f>
        <v>Delhi</v>
      </c>
      <c r="J172" t="str">
        <f>IF(F172&gt;=20000,"high",IF(F172&gt;15000,"medium","low"))</f>
        <v>low</v>
      </c>
      <c r="K172" s="10">
        <f>IF(J173="high",0.1,IF(J173="medium",0.07,0.05))</f>
        <v>7.0000000000000007E-2</v>
      </c>
      <c r="L172" s="9">
        <f>PRODUCT(F172:K172)</f>
        <v>944.86000000000013</v>
      </c>
    </row>
    <row r="173" spans="1:12" x14ac:dyDescent="0.35">
      <c r="A173">
        <v>272</v>
      </c>
      <c r="B173" t="s">
        <v>27</v>
      </c>
      <c r="C173" t="s">
        <v>21</v>
      </c>
      <c r="D173" t="s">
        <v>16</v>
      </c>
      <c r="E173">
        <v>46110</v>
      </c>
      <c r="F173">
        <v>18665</v>
      </c>
      <c r="G173" t="s">
        <v>19</v>
      </c>
      <c r="H173" t="str">
        <f>INDEX([1]CUSTOMER_DATA!B:B, MATCH(B173, [1]CUSTOMER_DATA!A:A, 0))</f>
        <v>Corporate</v>
      </c>
      <c r="I173" t="str">
        <f>IFERROR(
    INDEX([1]CUSTOMER_DATA!C:C, MATCH(B173, [1]CUSTOMER_DATA!A:A, 0)),
    "Unknown"
)</f>
        <v>Mumbai</v>
      </c>
      <c r="J173" t="str">
        <f>IF(F173&gt;=20000,"high",IF(F173&gt;15000,"medium","low"))</f>
        <v>medium</v>
      </c>
      <c r="K173" s="10">
        <f>IF(J174="high",0.1,IF(J174="medium",0.07,0.05))</f>
        <v>0.1</v>
      </c>
      <c r="L173" s="9">
        <f>PRODUCT(F173:K173)</f>
        <v>1866.5</v>
      </c>
    </row>
    <row r="174" spans="1:12" x14ac:dyDescent="0.35">
      <c r="A174">
        <v>273</v>
      </c>
      <c r="B174" t="s">
        <v>33</v>
      </c>
      <c r="C174" t="s">
        <v>31</v>
      </c>
      <c r="D174" t="s">
        <v>16</v>
      </c>
      <c r="E174">
        <v>45925</v>
      </c>
      <c r="F174">
        <v>20000</v>
      </c>
      <c r="G174" t="s">
        <v>15</v>
      </c>
      <c r="H174" t="str">
        <f>INDEX([1]CUSTOMER_DATA!B:B, MATCH(B174, [1]CUSTOMER_DATA!A:A, 0))</f>
        <v>Corporate</v>
      </c>
      <c r="I174" t="str">
        <f>IFERROR(
    INDEX([1]CUSTOMER_DATA!C:C, MATCH(B174, [1]CUSTOMER_DATA!A:A, 0)),
    "Unknown"
)</f>
        <v>Surat</v>
      </c>
      <c r="J174" t="str">
        <f>IF(F174&gt;=20000,"high",IF(F174&gt;15000,"medium","low"))</f>
        <v>high</v>
      </c>
      <c r="K174" s="10">
        <f>IF(J175="high",0.1,IF(J175="medium",0.07,0.05))</f>
        <v>7.0000000000000007E-2</v>
      </c>
      <c r="L174" s="9">
        <f>PRODUCT(F174:K174)</f>
        <v>1400.0000000000002</v>
      </c>
    </row>
    <row r="175" spans="1:12" x14ac:dyDescent="0.35">
      <c r="A175">
        <v>274</v>
      </c>
      <c r="B175" t="s">
        <v>27</v>
      </c>
      <c r="C175" t="s">
        <v>31</v>
      </c>
      <c r="D175" t="s">
        <v>16</v>
      </c>
      <c r="E175">
        <v>44504</v>
      </c>
      <c r="F175">
        <v>15341</v>
      </c>
      <c r="G175" t="s">
        <v>15</v>
      </c>
      <c r="H175" t="str">
        <f>INDEX([1]CUSTOMER_DATA!B:B, MATCH(B175, [1]CUSTOMER_DATA!A:A, 0))</f>
        <v>Corporate</v>
      </c>
      <c r="I175" t="str">
        <f>IFERROR(
    INDEX([1]CUSTOMER_DATA!C:C, MATCH(B175, [1]CUSTOMER_DATA!A:A, 0)),
    "Unknown"
)</f>
        <v>Mumbai</v>
      </c>
      <c r="J175" t="str">
        <f>IF(F175&gt;=20000,"high",IF(F175&gt;15000,"medium","low"))</f>
        <v>medium</v>
      </c>
      <c r="K175" s="10">
        <f>IF(J176="high",0.1,IF(J176="medium",0.07,0.05))</f>
        <v>0.05</v>
      </c>
      <c r="L175" s="9">
        <f>PRODUCT(F175:K175)</f>
        <v>767.05000000000007</v>
      </c>
    </row>
    <row r="176" spans="1:12" x14ac:dyDescent="0.35">
      <c r="A176">
        <v>275</v>
      </c>
      <c r="B176" t="s">
        <v>27</v>
      </c>
      <c r="C176" t="s">
        <v>21</v>
      </c>
      <c r="D176" t="s">
        <v>20</v>
      </c>
      <c r="E176">
        <v>45967</v>
      </c>
      <c r="F176">
        <v>11012</v>
      </c>
      <c r="G176" t="s">
        <v>15</v>
      </c>
      <c r="H176" t="str">
        <f>INDEX([1]CUSTOMER_DATA!B:B, MATCH(B176, [1]CUSTOMER_DATA!A:A, 0))</f>
        <v>Corporate</v>
      </c>
      <c r="I176" t="str">
        <f>IFERROR(
    INDEX([1]CUSTOMER_DATA!C:C, MATCH(B176, [1]CUSTOMER_DATA!A:A, 0)),
    "Unknown"
)</f>
        <v>Mumbai</v>
      </c>
      <c r="J176" t="str">
        <f>IF(F176&gt;=20000,"high",IF(F176&gt;15000,"medium","low"))</f>
        <v>low</v>
      </c>
      <c r="K176" s="10">
        <f>IF(J177="high",0.1,IF(J177="medium",0.07,0.05))</f>
        <v>0.05</v>
      </c>
      <c r="L176" s="9">
        <f>PRODUCT(F176:K176)</f>
        <v>550.6</v>
      </c>
    </row>
    <row r="177" spans="1:12" x14ac:dyDescent="0.35">
      <c r="A177">
        <v>276</v>
      </c>
      <c r="B177" t="s">
        <v>32</v>
      </c>
      <c r="C177" t="s">
        <v>31</v>
      </c>
      <c r="D177" t="s">
        <v>30</v>
      </c>
      <c r="E177">
        <v>45486</v>
      </c>
      <c r="F177">
        <v>12378</v>
      </c>
      <c r="G177" t="s">
        <v>29</v>
      </c>
      <c r="H177" t="str">
        <f>INDEX([1]CUSTOMER_DATA!B:B, MATCH(B177, [1]CUSTOMER_DATA!A:A, 0))</f>
        <v>Retail</v>
      </c>
      <c r="I177" t="str">
        <f>IFERROR(
    INDEX([1]CUSTOMER_DATA!C:C, MATCH(B177, [1]CUSTOMER_DATA!A:A, 0)),
    "Unknown"
)</f>
        <v>Delhi</v>
      </c>
      <c r="J177" t="str">
        <f>IF(F177&gt;=20000,"high",IF(F177&gt;15000,"medium","low"))</f>
        <v>low</v>
      </c>
      <c r="K177" s="10">
        <f>IF(J178="high",0.1,IF(J178="medium",0.07,0.05))</f>
        <v>0.05</v>
      </c>
      <c r="L177" s="9">
        <f>PRODUCT(F177:K177)</f>
        <v>618.90000000000009</v>
      </c>
    </row>
    <row r="178" spans="1:12" x14ac:dyDescent="0.35">
      <c r="A178">
        <v>277</v>
      </c>
      <c r="B178" t="s">
        <v>28</v>
      </c>
      <c r="C178" t="s">
        <v>17</v>
      </c>
      <c r="D178" t="s">
        <v>16</v>
      </c>
      <c r="E178">
        <v>45024</v>
      </c>
      <c r="F178">
        <v>14439</v>
      </c>
      <c r="G178" t="s">
        <v>19</v>
      </c>
      <c r="H178" t="str">
        <f>INDEX([1]CUSTOMER_DATA!B:B, MATCH(B178, [1]CUSTOMER_DATA!A:A, 0))</f>
        <v>SMB</v>
      </c>
      <c r="I178" t="str">
        <f>IFERROR(
    INDEX([1]CUSTOMER_DATA!C:C, MATCH(B178, [1]CUSTOMER_DATA!A:A, 0)),
    "Unknown"
)</f>
        <v>Chennai</v>
      </c>
      <c r="J178" t="str">
        <f>IF(F178&gt;=20000,"high",IF(F178&gt;15000,"medium","low"))</f>
        <v>low</v>
      </c>
      <c r="K178" s="10">
        <f>IF(J179="high",0.1,IF(J179="medium",0.07,0.05))</f>
        <v>0.1</v>
      </c>
      <c r="L178" s="9">
        <f>PRODUCT(F178:K178)</f>
        <v>1443.9</v>
      </c>
    </row>
    <row r="179" spans="1:12" x14ac:dyDescent="0.35">
      <c r="A179">
        <v>278</v>
      </c>
      <c r="B179" t="s">
        <v>27</v>
      </c>
      <c r="C179" t="s">
        <v>23</v>
      </c>
      <c r="D179" t="s">
        <v>26</v>
      </c>
      <c r="E179">
        <v>44357</v>
      </c>
      <c r="F179">
        <v>20000</v>
      </c>
      <c r="G179" t="s">
        <v>25</v>
      </c>
      <c r="H179" t="str">
        <f>INDEX([1]CUSTOMER_DATA!B:B, MATCH(B179, [1]CUSTOMER_DATA!A:A, 0))</f>
        <v>Corporate</v>
      </c>
      <c r="I179" t="str">
        <f>IFERROR(
    INDEX([1]CUSTOMER_DATA!C:C, MATCH(B179, [1]CUSTOMER_DATA!A:A, 0)),
    "Unknown"
)</f>
        <v>Mumbai</v>
      </c>
      <c r="J179" t="str">
        <f>IF(F179&gt;=20000,"high",IF(F179&gt;15000,"medium","low"))</f>
        <v>high</v>
      </c>
      <c r="K179" s="10">
        <f>IF(J180="high",0.1,IF(J180="medium",0.07,0.05))</f>
        <v>7.0000000000000007E-2</v>
      </c>
      <c r="L179" s="9">
        <f>PRODUCT(F179:K179)</f>
        <v>1400.0000000000002</v>
      </c>
    </row>
    <row r="180" spans="1:12" x14ac:dyDescent="0.35">
      <c r="A180">
        <v>279</v>
      </c>
      <c r="B180" t="s">
        <v>24</v>
      </c>
      <c r="C180" t="s">
        <v>23</v>
      </c>
      <c r="D180" t="s">
        <v>20</v>
      </c>
      <c r="E180">
        <v>43958</v>
      </c>
      <c r="F180">
        <v>19524</v>
      </c>
      <c r="G180" t="s">
        <v>15</v>
      </c>
      <c r="H180" t="str">
        <f>INDEX([1]CUSTOMER_DATA!B:B, MATCH(B180, [1]CUSTOMER_DATA!A:A, 0))</f>
        <v>Corporate</v>
      </c>
      <c r="I180" t="str">
        <f>IFERROR(
    INDEX([1]CUSTOMER_DATA!C:C, MATCH(B180, [1]CUSTOMER_DATA!A:A, 0)),
    "Unknown"
)</f>
        <v>Ahmedabad</v>
      </c>
      <c r="J180" t="str">
        <f>IF(F180&gt;=20000,"high",IF(F180&gt;15000,"medium","low"))</f>
        <v>medium</v>
      </c>
      <c r="K180" s="10">
        <f>IF(J181="high",0.1,IF(J181="medium",0.07,0.05))</f>
        <v>7.0000000000000007E-2</v>
      </c>
      <c r="L180" s="9">
        <f>PRODUCT(F180:K180)</f>
        <v>1366.68</v>
      </c>
    </row>
    <row r="181" spans="1:12" x14ac:dyDescent="0.35">
      <c r="A181">
        <v>280</v>
      </c>
      <c r="B181" t="s">
        <v>22</v>
      </c>
      <c r="C181" t="s">
        <v>21</v>
      </c>
      <c r="D181" t="s">
        <v>20</v>
      </c>
      <c r="E181">
        <v>45546</v>
      </c>
      <c r="F181">
        <v>15459</v>
      </c>
      <c r="G181" t="s">
        <v>19</v>
      </c>
      <c r="H181" t="str">
        <f>INDEX([1]CUSTOMER_DATA!B:B, MATCH(B181, [1]CUSTOMER_DATA!A:A, 0))</f>
        <v>Retail</v>
      </c>
      <c r="I181" t="str">
        <f>IFERROR(
    INDEX([1]CUSTOMER_DATA!C:C, MATCH(B181, [1]CUSTOMER_DATA!A:A, 0)),
    "Unknown"
)</f>
        <v>Kolkata</v>
      </c>
      <c r="J181" t="str">
        <f>IF(F181&gt;=20000,"high",IF(F181&gt;15000,"medium","low"))</f>
        <v>medium</v>
      </c>
      <c r="K181" s="10">
        <f>IF(J182="high",0.1,IF(J182="medium",0.07,0.05))</f>
        <v>7.0000000000000007E-2</v>
      </c>
      <c r="L181" s="9">
        <f>PRODUCT(F181:K181)</f>
        <v>1082.1300000000001</v>
      </c>
    </row>
    <row r="182" spans="1:12" x14ac:dyDescent="0.35">
      <c r="A182">
        <v>281</v>
      </c>
      <c r="B182" t="s">
        <v>18</v>
      </c>
      <c r="C182" t="s">
        <v>17</v>
      </c>
      <c r="D182" t="s">
        <v>16</v>
      </c>
      <c r="E182">
        <v>44035</v>
      </c>
      <c r="F182">
        <v>15496</v>
      </c>
      <c r="G182" t="s">
        <v>29</v>
      </c>
      <c r="H182" t="str">
        <f>INDEX([1]CUSTOMER_DATA!B:B, MATCH(B182, [1]CUSTOMER_DATA!A:A, 0))</f>
        <v>SMB</v>
      </c>
      <c r="I182" t="str">
        <f>IFERROR(
    INDEX([1]CUSTOMER_DATA!C:C, MATCH(B182, [1]CUSTOMER_DATA!A:A, 0)),
    "Unknown"
)</f>
        <v>Pune</v>
      </c>
      <c r="J182" t="str">
        <f>IF(F182&gt;=20000,"high",IF(F182&gt;15000,"medium","low"))</f>
        <v>medium</v>
      </c>
      <c r="K182" s="10">
        <f>IF(J183="high",0.1,IF(J183="medium",0.07,0.05))</f>
        <v>7.0000000000000007E-2</v>
      </c>
      <c r="L182" s="9">
        <f>PRODUCT(F182:K182)</f>
        <v>1084.72</v>
      </c>
    </row>
    <row r="183" spans="1:12" x14ac:dyDescent="0.35">
      <c r="A183">
        <v>282</v>
      </c>
      <c r="B183" t="s">
        <v>27</v>
      </c>
      <c r="C183" t="s">
        <v>31</v>
      </c>
      <c r="D183" t="s">
        <v>30</v>
      </c>
      <c r="E183">
        <v>45410</v>
      </c>
      <c r="F183">
        <v>17064</v>
      </c>
      <c r="G183" t="s">
        <v>25</v>
      </c>
      <c r="H183" t="str">
        <f>INDEX([1]CUSTOMER_DATA!B:B, MATCH(B183, [1]CUSTOMER_DATA!A:A, 0))</f>
        <v>Corporate</v>
      </c>
      <c r="I183" t="str">
        <f>IFERROR(
    INDEX([1]CUSTOMER_DATA!C:C, MATCH(B183, [1]CUSTOMER_DATA!A:A, 0)),
    "Unknown"
)</f>
        <v>Mumbai</v>
      </c>
      <c r="J183" t="str">
        <f>IF(F183&gt;=20000,"high",IF(F183&gt;15000,"medium","low"))</f>
        <v>medium</v>
      </c>
      <c r="K183" s="10">
        <f>IF(J184="high",0.1,IF(J184="medium",0.07,0.05))</f>
        <v>0.05</v>
      </c>
      <c r="L183" s="9">
        <f>PRODUCT(F183:K183)</f>
        <v>853.2</v>
      </c>
    </row>
    <row r="184" spans="1:12" x14ac:dyDescent="0.35">
      <c r="A184">
        <v>283</v>
      </c>
      <c r="B184" t="s">
        <v>36</v>
      </c>
      <c r="C184" t="s">
        <v>23</v>
      </c>
      <c r="D184" t="s">
        <v>30</v>
      </c>
      <c r="E184">
        <v>44926</v>
      </c>
      <c r="F184">
        <v>12546</v>
      </c>
      <c r="G184" t="s">
        <v>19</v>
      </c>
      <c r="H184" t="str">
        <f>INDEX([1]CUSTOMER_DATA!B:B, MATCH(B184, [1]CUSTOMER_DATA!A:A, 0))</f>
        <v>Retail</v>
      </c>
      <c r="I184" t="str">
        <f>IFERROR(
    INDEX([1]CUSTOMER_DATA!C:C, MATCH(B184, [1]CUSTOMER_DATA!A:A, 0)),
    "Unknown"
)</f>
        <v>Hyderabad</v>
      </c>
      <c r="J184" t="str">
        <f>IF(F184&gt;=20000,"high",IF(F184&gt;15000,"medium","low"))</f>
        <v>low</v>
      </c>
      <c r="K184" s="10">
        <f>IF(J185="high",0.1,IF(J185="medium",0.07,0.05))</f>
        <v>0.05</v>
      </c>
      <c r="L184" s="9">
        <f>PRODUCT(F184:K184)</f>
        <v>627.30000000000007</v>
      </c>
    </row>
    <row r="185" spans="1:12" x14ac:dyDescent="0.35">
      <c r="A185">
        <v>284</v>
      </c>
      <c r="B185" t="s">
        <v>35</v>
      </c>
      <c r="C185" t="s">
        <v>23</v>
      </c>
      <c r="D185" t="s">
        <v>20</v>
      </c>
      <c r="E185">
        <v>44686</v>
      </c>
      <c r="F185">
        <v>12480</v>
      </c>
      <c r="G185" t="s">
        <v>25</v>
      </c>
      <c r="H185" t="str">
        <f>INDEX([1]CUSTOMER_DATA!B:B, MATCH(B185, [1]CUSTOMER_DATA!A:A, 0))</f>
        <v>Corporate</v>
      </c>
      <c r="I185" t="str">
        <f>IFERROR(
    INDEX([1]CUSTOMER_DATA!C:C, MATCH(B185, [1]CUSTOMER_DATA!A:A, 0)),
    "Unknown"
)</f>
        <v>Bangalore</v>
      </c>
      <c r="J185" t="str">
        <f>IF(F185&gt;=20000,"high",IF(F185&gt;15000,"medium","low"))</f>
        <v>low</v>
      </c>
      <c r="K185" s="10">
        <f>IF(J186="high",0.1,IF(J186="medium",0.07,0.05))</f>
        <v>0.05</v>
      </c>
      <c r="L185" s="9">
        <f>PRODUCT(F185:K185)</f>
        <v>624</v>
      </c>
    </row>
    <row r="186" spans="1:12" x14ac:dyDescent="0.35">
      <c r="A186">
        <v>285</v>
      </c>
      <c r="B186" t="s">
        <v>32</v>
      </c>
      <c r="C186" t="s">
        <v>17</v>
      </c>
      <c r="D186" t="s">
        <v>26</v>
      </c>
      <c r="E186">
        <v>44641</v>
      </c>
      <c r="F186">
        <v>10699</v>
      </c>
      <c r="G186" t="s">
        <v>29</v>
      </c>
      <c r="H186" t="str">
        <f>INDEX([1]CUSTOMER_DATA!B:B, MATCH(B186, [1]CUSTOMER_DATA!A:A, 0))</f>
        <v>Retail</v>
      </c>
      <c r="I186" t="str">
        <f>IFERROR(
    INDEX([1]CUSTOMER_DATA!C:C, MATCH(B186, [1]CUSTOMER_DATA!A:A, 0)),
    "Unknown"
)</f>
        <v>Delhi</v>
      </c>
      <c r="J186" t="str">
        <f>IF(F186&gt;=20000,"high",IF(F186&gt;15000,"medium","low"))</f>
        <v>low</v>
      </c>
      <c r="K186" s="10">
        <f>IF(J187="high",0.1,IF(J187="medium",0.07,0.05))</f>
        <v>0.05</v>
      </c>
      <c r="L186" s="9">
        <f>PRODUCT(F186:K186)</f>
        <v>534.95000000000005</v>
      </c>
    </row>
    <row r="187" spans="1:12" x14ac:dyDescent="0.35">
      <c r="A187">
        <v>286</v>
      </c>
      <c r="B187" t="s">
        <v>27</v>
      </c>
      <c r="C187" t="s">
        <v>21</v>
      </c>
      <c r="D187" t="s">
        <v>26</v>
      </c>
      <c r="E187">
        <v>45504</v>
      </c>
      <c r="F187">
        <v>10960</v>
      </c>
      <c r="G187" t="s">
        <v>25</v>
      </c>
      <c r="H187" t="str">
        <f>INDEX([1]CUSTOMER_DATA!B:B, MATCH(B187, [1]CUSTOMER_DATA!A:A, 0))</f>
        <v>Corporate</v>
      </c>
      <c r="I187" t="str">
        <f>IFERROR(
    INDEX([1]CUSTOMER_DATA!C:C, MATCH(B187, [1]CUSTOMER_DATA!A:A, 0)),
    "Unknown"
)</f>
        <v>Mumbai</v>
      </c>
      <c r="J187" t="str">
        <f>IF(F187&gt;=20000,"high",IF(F187&gt;15000,"medium","low"))</f>
        <v>low</v>
      </c>
      <c r="K187" s="10">
        <f>IF(J188="high",0.1,IF(J188="medium",0.07,0.05))</f>
        <v>0.1</v>
      </c>
      <c r="L187" s="9">
        <f>PRODUCT(F187:K187)</f>
        <v>1096</v>
      </c>
    </row>
    <row r="188" spans="1:12" x14ac:dyDescent="0.35">
      <c r="A188">
        <v>287</v>
      </c>
      <c r="B188" t="s">
        <v>34</v>
      </c>
      <c r="C188" t="s">
        <v>23</v>
      </c>
      <c r="D188" t="s">
        <v>16</v>
      </c>
      <c r="E188">
        <v>44483</v>
      </c>
      <c r="F188">
        <v>20000</v>
      </c>
      <c r="G188" t="s">
        <v>19</v>
      </c>
      <c r="H188" t="str">
        <f>INDEX([1]CUSTOMER_DATA!B:B, MATCH(B188, [1]CUSTOMER_DATA!A:A, 0))</f>
        <v>SMB</v>
      </c>
      <c r="I188" t="str">
        <f>IFERROR(
    INDEX([1]CUSTOMER_DATA!C:C, MATCH(B188, [1]CUSTOMER_DATA!A:A, 0)),
    "Unknown"
)</f>
        <v>Jaipur</v>
      </c>
      <c r="J188" t="str">
        <f>IF(F188&gt;=20000,"high",IF(F188&gt;15000,"medium","low"))</f>
        <v>high</v>
      </c>
      <c r="K188" s="10">
        <f>IF(J189="high",0.1,IF(J189="medium",0.07,0.05))</f>
        <v>0.05</v>
      </c>
      <c r="L188" s="9">
        <f>PRODUCT(F188:K188)</f>
        <v>1000</v>
      </c>
    </row>
    <row r="189" spans="1:12" x14ac:dyDescent="0.35">
      <c r="A189">
        <v>288</v>
      </c>
      <c r="B189" t="s">
        <v>32</v>
      </c>
      <c r="C189" t="s">
        <v>17</v>
      </c>
      <c r="D189" t="s">
        <v>30</v>
      </c>
      <c r="E189">
        <v>44333</v>
      </c>
      <c r="F189">
        <v>11654</v>
      </c>
      <c r="G189" t="s">
        <v>19</v>
      </c>
      <c r="H189" t="str">
        <f>INDEX([1]CUSTOMER_DATA!B:B, MATCH(B189, [1]CUSTOMER_DATA!A:A, 0))</f>
        <v>Retail</v>
      </c>
      <c r="I189" t="str">
        <f>IFERROR(
    INDEX([1]CUSTOMER_DATA!C:C, MATCH(B189, [1]CUSTOMER_DATA!A:A, 0)),
    "Unknown"
)</f>
        <v>Delhi</v>
      </c>
      <c r="J189" t="str">
        <f>IF(F189&gt;=20000,"high",IF(F189&gt;15000,"medium","low"))</f>
        <v>low</v>
      </c>
      <c r="K189" s="10">
        <f>IF(J190="high",0.1,IF(J190="medium",0.07,0.05))</f>
        <v>0.05</v>
      </c>
      <c r="L189" s="9">
        <f>PRODUCT(F189:K189)</f>
        <v>582.70000000000005</v>
      </c>
    </row>
    <row r="190" spans="1:12" x14ac:dyDescent="0.35">
      <c r="A190">
        <v>289</v>
      </c>
      <c r="B190" t="s">
        <v>32</v>
      </c>
      <c r="C190" t="s">
        <v>31</v>
      </c>
      <c r="D190" t="s">
        <v>16</v>
      </c>
      <c r="E190">
        <v>44955</v>
      </c>
      <c r="F190">
        <v>13498</v>
      </c>
      <c r="G190" t="s">
        <v>19</v>
      </c>
      <c r="H190" t="str">
        <f>INDEX([1]CUSTOMER_DATA!B:B, MATCH(B190, [1]CUSTOMER_DATA!A:A, 0))</f>
        <v>Retail</v>
      </c>
      <c r="I190" t="str">
        <f>IFERROR(
    INDEX([1]CUSTOMER_DATA!C:C, MATCH(B190, [1]CUSTOMER_DATA!A:A, 0)),
    "Unknown"
)</f>
        <v>Delhi</v>
      </c>
      <c r="J190" t="str">
        <f>IF(F190&gt;=20000,"high",IF(F190&gt;15000,"medium","low"))</f>
        <v>low</v>
      </c>
      <c r="K190" s="10">
        <f>IF(J191="high",0.1,IF(J191="medium",0.07,0.05))</f>
        <v>7.0000000000000007E-2</v>
      </c>
      <c r="L190" s="9">
        <f>PRODUCT(F190:K190)</f>
        <v>944.86000000000013</v>
      </c>
    </row>
    <row r="191" spans="1:12" x14ac:dyDescent="0.35">
      <c r="A191">
        <v>290</v>
      </c>
      <c r="B191" t="s">
        <v>27</v>
      </c>
      <c r="C191" t="s">
        <v>21</v>
      </c>
      <c r="D191" t="s">
        <v>16</v>
      </c>
      <c r="E191">
        <v>46110</v>
      </c>
      <c r="F191">
        <v>18665</v>
      </c>
      <c r="G191" t="s">
        <v>19</v>
      </c>
      <c r="H191" t="str">
        <f>INDEX([1]CUSTOMER_DATA!B:B, MATCH(B191, [1]CUSTOMER_DATA!A:A, 0))</f>
        <v>Corporate</v>
      </c>
      <c r="I191" t="str">
        <f>IFERROR(
    INDEX([1]CUSTOMER_DATA!C:C, MATCH(B191, [1]CUSTOMER_DATA!A:A, 0)),
    "Unknown"
)</f>
        <v>Mumbai</v>
      </c>
      <c r="J191" t="str">
        <f>IF(F191&gt;=20000,"high",IF(F191&gt;15000,"medium","low"))</f>
        <v>medium</v>
      </c>
      <c r="K191" s="10">
        <f>IF(J192="high",0.1,IF(J192="medium",0.07,0.05))</f>
        <v>0.1</v>
      </c>
      <c r="L191" s="9">
        <f>PRODUCT(F191:K191)</f>
        <v>1866.5</v>
      </c>
    </row>
    <row r="192" spans="1:12" x14ac:dyDescent="0.35">
      <c r="A192">
        <v>291</v>
      </c>
      <c r="B192" t="s">
        <v>33</v>
      </c>
      <c r="C192" t="s">
        <v>31</v>
      </c>
      <c r="D192" t="s">
        <v>16</v>
      </c>
      <c r="E192">
        <v>45925</v>
      </c>
      <c r="F192">
        <v>20000</v>
      </c>
      <c r="G192" t="s">
        <v>15</v>
      </c>
      <c r="H192" t="str">
        <f>INDEX([1]CUSTOMER_DATA!B:B, MATCH(B192, [1]CUSTOMER_DATA!A:A, 0))</f>
        <v>Corporate</v>
      </c>
      <c r="I192" t="str">
        <f>IFERROR(
    INDEX([1]CUSTOMER_DATA!C:C, MATCH(B192, [1]CUSTOMER_DATA!A:A, 0)),
    "Unknown"
)</f>
        <v>Surat</v>
      </c>
      <c r="J192" t="str">
        <f>IF(F192&gt;=20000,"high",IF(F192&gt;15000,"medium","low"))</f>
        <v>high</v>
      </c>
      <c r="K192" s="10">
        <f>IF(J193="high",0.1,IF(J193="medium",0.07,0.05))</f>
        <v>7.0000000000000007E-2</v>
      </c>
      <c r="L192" s="9">
        <f>PRODUCT(F192:K192)</f>
        <v>1400.0000000000002</v>
      </c>
    </row>
    <row r="193" spans="1:12" x14ac:dyDescent="0.35">
      <c r="A193">
        <v>292</v>
      </c>
      <c r="B193" t="s">
        <v>27</v>
      </c>
      <c r="C193" t="s">
        <v>31</v>
      </c>
      <c r="D193" t="s">
        <v>16</v>
      </c>
      <c r="E193">
        <v>44504</v>
      </c>
      <c r="F193">
        <v>15341</v>
      </c>
      <c r="G193" t="s">
        <v>15</v>
      </c>
      <c r="H193" t="str">
        <f>INDEX([1]CUSTOMER_DATA!B:B, MATCH(B193, [1]CUSTOMER_DATA!A:A, 0))</f>
        <v>Corporate</v>
      </c>
      <c r="I193" t="str">
        <f>IFERROR(
    INDEX([1]CUSTOMER_DATA!C:C, MATCH(B193, [1]CUSTOMER_DATA!A:A, 0)),
    "Unknown"
)</f>
        <v>Mumbai</v>
      </c>
      <c r="J193" t="str">
        <f>IF(F193&gt;=20000,"high",IF(F193&gt;15000,"medium","low"))</f>
        <v>medium</v>
      </c>
      <c r="K193" s="10">
        <f>IF(J194="high",0.1,IF(J194="medium",0.07,0.05))</f>
        <v>0.05</v>
      </c>
      <c r="L193" s="9">
        <f>PRODUCT(F193:K193)</f>
        <v>767.05000000000007</v>
      </c>
    </row>
    <row r="194" spans="1:12" x14ac:dyDescent="0.35">
      <c r="A194">
        <v>293</v>
      </c>
      <c r="B194" t="s">
        <v>28</v>
      </c>
      <c r="C194" t="s">
        <v>17</v>
      </c>
      <c r="D194" t="s">
        <v>16</v>
      </c>
      <c r="E194">
        <v>45024</v>
      </c>
      <c r="F194">
        <v>14439</v>
      </c>
      <c r="G194" t="s">
        <v>19</v>
      </c>
      <c r="H194" t="str">
        <f>INDEX([1]CUSTOMER_DATA!B:B, MATCH(B194, [1]CUSTOMER_DATA!A:A, 0))</f>
        <v>SMB</v>
      </c>
      <c r="I194" t="str">
        <f>IFERROR(
    INDEX([1]CUSTOMER_DATA!C:C, MATCH(B194, [1]CUSTOMER_DATA!A:A, 0)),
    "Unknown"
)</f>
        <v>Chennai</v>
      </c>
      <c r="J194" t="str">
        <f>IF(F194&gt;=20000,"high",IF(F194&gt;15000,"medium","low"))</f>
        <v>low</v>
      </c>
      <c r="K194" s="10">
        <f>IF(J195="high",0.1,IF(J195="medium",0.07,0.05))</f>
        <v>0.1</v>
      </c>
      <c r="L194" s="9">
        <f>PRODUCT(F194:K194)</f>
        <v>1443.9</v>
      </c>
    </row>
    <row r="195" spans="1:12" x14ac:dyDescent="0.35">
      <c r="A195">
        <v>294</v>
      </c>
      <c r="B195" t="s">
        <v>27</v>
      </c>
      <c r="C195" t="s">
        <v>23</v>
      </c>
      <c r="D195" t="s">
        <v>26</v>
      </c>
      <c r="E195">
        <v>44357</v>
      </c>
      <c r="F195">
        <v>20000</v>
      </c>
      <c r="G195" t="s">
        <v>25</v>
      </c>
      <c r="H195" t="str">
        <f>INDEX([1]CUSTOMER_DATA!B:B, MATCH(B195, [1]CUSTOMER_DATA!A:A, 0))</f>
        <v>Corporate</v>
      </c>
      <c r="I195" t="str">
        <f>IFERROR(
    INDEX([1]CUSTOMER_DATA!C:C, MATCH(B195, [1]CUSTOMER_DATA!A:A, 0)),
    "Unknown"
)</f>
        <v>Mumbai</v>
      </c>
      <c r="J195" t="str">
        <f>IF(F195&gt;=20000,"high",IF(F195&gt;15000,"medium","low"))</f>
        <v>high</v>
      </c>
      <c r="K195" s="10">
        <f>IF(J196="high",0.1,IF(J196="medium",0.07,0.05))</f>
        <v>7.0000000000000007E-2</v>
      </c>
      <c r="L195" s="9">
        <f>PRODUCT(F195:K195)</f>
        <v>1400.0000000000002</v>
      </c>
    </row>
    <row r="196" spans="1:12" x14ac:dyDescent="0.35">
      <c r="A196">
        <v>295</v>
      </c>
      <c r="B196" t="s">
        <v>24</v>
      </c>
      <c r="C196" t="s">
        <v>23</v>
      </c>
      <c r="D196" t="s">
        <v>20</v>
      </c>
      <c r="E196">
        <v>43958</v>
      </c>
      <c r="F196">
        <v>19524</v>
      </c>
      <c r="G196" t="s">
        <v>15</v>
      </c>
      <c r="H196" t="str">
        <f>INDEX([1]CUSTOMER_DATA!B:B, MATCH(B196, [1]CUSTOMER_DATA!A:A, 0))</f>
        <v>Corporate</v>
      </c>
      <c r="I196" t="str">
        <f>IFERROR(
    INDEX([1]CUSTOMER_DATA!C:C, MATCH(B196, [1]CUSTOMER_DATA!A:A, 0)),
    "Unknown"
)</f>
        <v>Ahmedabad</v>
      </c>
      <c r="J196" t="str">
        <f>IF(F196&gt;=20000,"high",IF(F196&gt;15000,"medium","low"))</f>
        <v>medium</v>
      </c>
      <c r="K196" s="10">
        <f>IF(J197="high",0.1,IF(J197="medium",0.07,0.05))</f>
        <v>7.0000000000000007E-2</v>
      </c>
      <c r="L196" s="9">
        <f>PRODUCT(F196:K196)</f>
        <v>1366.68</v>
      </c>
    </row>
    <row r="197" spans="1:12" x14ac:dyDescent="0.35">
      <c r="A197">
        <v>296</v>
      </c>
      <c r="B197" t="s">
        <v>22</v>
      </c>
      <c r="C197" t="s">
        <v>21</v>
      </c>
      <c r="D197" t="s">
        <v>20</v>
      </c>
      <c r="E197">
        <v>45546</v>
      </c>
      <c r="F197">
        <v>15459</v>
      </c>
      <c r="G197" t="s">
        <v>19</v>
      </c>
      <c r="H197" t="str">
        <f>INDEX([1]CUSTOMER_DATA!B:B, MATCH(B197, [1]CUSTOMER_DATA!A:A, 0))</f>
        <v>Retail</v>
      </c>
      <c r="I197" t="str">
        <f>IFERROR(
    INDEX([1]CUSTOMER_DATA!C:C, MATCH(B197, [1]CUSTOMER_DATA!A:A, 0)),
    "Unknown"
)</f>
        <v>Kolkata</v>
      </c>
      <c r="J197" t="str">
        <f>IF(F197&gt;=20000,"high",IF(F197&gt;15000,"medium","low"))</f>
        <v>medium</v>
      </c>
      <c r="K197" s="10">
        <f>IF(J198="high",0.1,IF(J198="medium",0.07,0.05))</f>
        <v>7.0000000000000007E-2</v>
      </c>
      <c r="L197" s="9">
        <f>PRODUCT(F197:K197)</f>
        <v>1082.1300000000001</v>
      </c>
    </row>
    <row r="198" spans="1:12" x14ac:dyDescent="0.35">
      <c r="A198">
        <v>297</v>
      </c>
      <c r="B198" t="s">
        <v>18</v>
      </c>
      <c r="C198" t="s">
        <v>17</v>
      </c>
      <c r="D198" t="s">
        <v>16</v>
      </c>
      <c r="E198">
        <v>44035</v>
      </c>
      <c r="F198">
        <v>15496</v>
      </c>
      <c r="G198" t="s">
        <v>29</v>
      </c>
      <c r="H198" t="str">
        <f>INDEX([1]CUSTOMER_DATA!B:B, MATCH(B198, [1]CUSTOMER_DATA!A:A, 0))</f>
        <v>SMB</v>
      </c>
      <c r="I198" t="str">
        <f>IFERROR(
    INDEX([1]CUSTOMER_DATA!C:C, MATCH(B198, [1]CUSTOMER_DATA!A:A, 0)),
    "Unknown"
)</f>
        <v>Pune</v>
      </c>
      <c r="J198" t="str">
        <f>IF(F198&gt;=20000,"high",IF(F198&gt;15000,"medium","low"))</f>
        <v>medium</v>
      </c>
      <c r="K198" s="10">
        <f>IF(J199="high",0.1,IF(J199="medium",0.07,0.05))</f>
        <v>7.0000000000000007E-2</v>
      </c>
      <c r="L198" s="9">
        <f>PRODUCT(F198:K198)</f>
        <v>1084.72</v>
      </c>
    </row>
    <row r="199" spans="1:12" x14ac:dyDescent="0.35">
      <c r="A199">
        <v>298</v>
      </c>
      <c r="B199" t="s">
        <v>27</v>
      </c>
      <c r="C199" t="s">
        <v>31</v>
      </c>
      <c r="D199" t="s">
        <v>30</v>
      </c>
      <c r="E199">
        <v>45410</v>
      </c>
      <c r="F199">
        <v>17064</v>
      </c>
      <c r="G199" t="s">
        <v>25</v>
      </c>
      <c r="H199" t="str">
        <f>INDEX([1]CUSTOMER_DATA!B:B, MATCH(B199, [1]CUSTOMER_DATA!A:A, 0))</f>
        <v>Corporate</v>
      </c>
      <c r="I199" t="str">
        <f>IFERROR(
    INDEX([1]CUSTOMER_DATA!C:C, MATCH(B199, [1]CUSTOMER_DATA!A:A, 0)),
    "Unknown"
)</f>
        <v>Mumbai</v>
      </c>
      <c r="J199" t="str">
        <f>IF(F199&gt;=20000,"high",IF(F199&gt;15000,"medium","low"))</f>
        <v>medium</v>
      </c>
      <c r="K199" s="10">
        <f>IF(J200="high",0.1,IF(J200="medium",0.07,0.05))</f>
        <v>0.05</v>
      </c>
      <c r="L199" s="9">
        <f>PRODUCT(F199:K199)</f>
        <v>853.2</v>
      </c>
    </row>
    <row r="200" spans="1:12" x14ac:dyDescent="0.35">
      <c r="A200">
        <v>299</v>
      </c>
      <c r="B200" t="s">
        <v>36</v>
      </c>
      <c r="C200" t="s">
        <v>23</v>
      </c>
      <c r="D200" t="s">
        <v>30</v>
      </c>
      <c r="E200">
        <v>44926</v>
      </c>
      <c r="F200">
        <v>12546</v>
      </c>
      <c r="G200" t="s">
        <v>19</v>
      </c>
      <c r="H200" t="str">
        <f>INDEX([1]CUSTOMER_DATA!B:B, MATCH(B200, [1]CUSTOMER_DATA!A:A, 0))</f>
        <v>Retail</v>
      </c>
      <c r="I200" t="str">
        <f>IFERROR(
    INDEX([1]CUSTOMER_DATA!C:C, MATCH(B200, [1]CUSTOMER_DATA!A:A, 0)),
    "Unknown"
)</f>
        <v>Hyderabad</v>
      </c>
      <c r="J200" t="str">
        <f>IF(F200&gt;=20000,"high",IF(F200&gt;15000,"medium","low"))</f>
        <v>low</v>
      </c>
      <c r="K200" s="10">
        <f>IF(J201="high",0.1,IF(J201="medium",0.07,0.05))</f>
        <v>0.05</v>
      </c>
      <c r="L200" s="9">
        <f>PRODUCT(F200:K200)</f>
        <v>627.30000000000007</v>
      </c>
    </row>
    <row r="201" spans="1:12" x14ac:dyDescent="0.35">
      <c r="A201">
        <v>300</v>
      </c>
      <c r="B201" t="s">
        <v>35</v>
      </c>
      <c r="C201" t="s">
        <v>23</v>
      </c>
      <c r="D201" t="s">
        <v>20</v>
      </c>
      <c r="E201">
        <v>44686</v>
      </c>
      <c r="F201">
        <v>12480</v>
      </c>
      <c r="G201" t="s">
        <v>25</v>
      </c>
      <c r="H201" t="str">
        <f>INDEX([1]CUSTOMER_DATA!B:B, MATCH(B201, [1]CUSTOMER_DATA!A:A, 0))</f>
        <v>Corporate</v>
      </c>
      <c r="I201" t="str">
        <f>IFERROR(
    INDEX([1]CUSTOMER_DATA!C:C, MATCH(B201, [1]CUSTOMER_DATA!A:A, 0)),
    "Unknown"
)</f>
        <v>Bangalore</v>
      </c>
      <c r="J201" t="str">
        <f>IF(F201&gt;=20000,"high",IF(F201&gt;15000,"medium","low"))</f>
        <v>low</v>
      </c>
      <c r="K201" s="10">
        <f>IF(J202="high",0.1,IF(J202="medium",0.07,0.05))</f>
        <v>0.05</v>
      </c>
      <c r="L201" s="9">
        <f>PRODUCT(F201:K201)</f>
        <v>624</v>
      </c>
    </row>
    <row r="202" spans="1:12" x14ac:dyDescent="0.35">
      <c r="A202">
        <v>301</v>
      </c>
      <c r="B202" t="s">
        <v>32</v>
      </c>
      <c r="C202" t="s">
        <v>17</v>
      </c>
      <c r="D202" t="s">
        <v>26</v>
      </c>
      <c r="E202">
        <v>44641</v>
      </c>
      <c r="F202">
        <v>10699</v>
      </c>
      <c r="G202" t="s">
        <v>29</v>
      </c>
      <c r="H202" t="str">
        <f>INDEX([1]CUSTOMER_DATA!B:B, MATCH(B202, [1]CUSTOMER_DATA!A:A, 0))</f>
        <v>Retail</v>
      </c>
      <c r="I202" t="str">
        <f>IFERROR(
    INDEX([1]CUSTOMER_DATA!C:C, MATCH(B202, [1]CUSTOMER_DATA!A:A, 0)),
    "Unknown"
)</f>
        <v>Delhi</v>
      </c>
      <c r="J202" t="str">
        <f>IF(F202&gt;=20000,"high",IF(F202&gt;15000,"medium","low"))</f>
        <v>low</v>
      </c>
      <c r="K202" s="10">
        <f>IF(J203="high",0.1,IF(J203="medium",0.07,0.05))</f>
        <v>0.05</v>
      </c>
      <c r="L202" s="9">
        <f>PRODUCT(F202:K202)</f>
        <v>534.95000000000005</v>
      </c>
    </row>
    <row r="203" spans="1:12" x14ac:dyDescent="0.35">
      <c r="A203">
        <v>302</v>
      </c>
      <c r="B203" t="s">
        <v>27</v>
      </c>
      <c r="C203" t="s">
        <v>21</v>
      </c>
      <c r="D203" t="s">
        <v>26</v>
      </c>
      <c r="E203">
        <v>45504</v>
      </c>
      <c r="F203">
        <v>10960</v>
      </c>
      <c r="G203" t="s">
        <v>25</v>
      </c>
      <c r="H203" t="str">
        <f>INDEX([1]CUSTOMER_DATA!B:B, MATCH(B203, [1]CUSTOMER_DATA!A:A, 0))</f>
        <v>Corporate</v>
      </c>
      <c r="I203" t="str">
        <f>IFERROR(
    INDEX([1]CUSTOMER_DATA!C:C, MATCH(B203, [1]CUSTOMER_DATA!A:A, 0)),
    "Unknown"
)</f>
        <v>Mumbai</v>
      </c>
      <c r="J203" t="str">
        <f>IF(F203&gt;=20000,"high",IF(F203&gt;15000,"medium","low"))</f>
        <v>low</v>
      </c>
      <c r="K203" s="10">
        <f>IF(J204="high",0.1,IF(J204="medium",0.07,0.05))</f>
        <v>0.1</v>
      </c>
      <c r="L203" s="9">
        <f>PRODUCT(F203:K203)</f>
        <v>1096</v>
      </c>
    </row>
    <row r="204" spans="1:12" x14ac:dyDescent="0.35">
      <c r="A204">
        <v>303</v>
      </c>
      <c r="B204" t="s">
        <v>34</v>
      </c>
      <c r="C204" t="s">
        <v>23</v>
      </c>
      <c r="D204" t="s">
        <v>16</v>
      </c>
      <c r="E204">
        <v>44483</v>
      </c>
      <c r="F204">
        <v>20000</v>
      </c>
      <c r="G204" t="s">
        <v>19</v>
      </c>
      <c r="H204" t="str">
        <f>INDEX([1]CUSTOMER_DATA!B:B, MATCH(B204, [1]CUSTOMER_DATA!A:A, 0))</f>
        <v>SMB</v>
      </c>
      <c r="I204" t="str">
        <f>IFERROR(
    INDEX([1]CUSTOMER_DATA!C:C, MATCH(B204, [1]CUSTOMER_DATA!A:A, 0)),
    "Unknown"
)</f>
        <v>Jaipur</v>
      </c>
      <c r="J204" t="str">
        <f>IF(F204&gt;=20000,"high",IF(F204&gt;15000,"medium","low"))</f>
        <v>high</v>
      </c>
      <c r="K204" s="10">
        <f>IF(J205="high",0.1,IF(J205="medium",0.07,0.05))</f>
        <v>0.05</v>
      </c>
      <c r="L204" s="9">
        <f>PRODUCT(F204:K204)</f>
        <v>1000</v>
      </c>
    </row>
    <row r="205" spans="1:12" x14ac:dyDescent="0.35">
      <c r="A205">
        <v>304</v>
      </c>
      <c r="B205" t="s">
        <v>32</v>
      </c>
      <c r="C205" t="s">
        <v>17</v>
      </c>
      <c r="D205" t="s">
        <v>30</v>
      </c>
      <c r="E205">
        <v>44333</v>
      </c>
      <c r="F205">
        <v>11654</v>
      </c>
      <c r="G205" t="s">
        <v>19</v>
      </c>
      <c r="H205" t="str">
        <f>INDEX([1]CUSTOMER_DATA!B:B, MATCH(B205, [1]CUSTOMER_DATA!A:A, 0))</f>
        <v>Retail</v>
      </c>
      <c r="I205" t="str">
        <f>IFERROR(
    INDEX([1]CUSTOMER_DATA!C:C, MATCH(B205, [1]CUSTOMER_DATA!A:A, 0)),
    "Unknown"
)</f>
        <v>Delhi</v>
      </c>
      <c r="J205" t="str">
        <f>IF(F205&gt;=20000,"high",IF(F205&gt;15000,"medium","low"))</f>
        <v>low</v>
      </c>
      <c r="K205" s="10">
        <f>IF(J206="high",0.1,IF(J206="medium",0.07,0.05))</f>
        <v>0.05</v>
      </c>
      <c r="L205" s="9">
        <f>PRODUCT(F205:K205)</f>
        <v>582.70000000000005</v>
      </c>
    </row>
    <row r="206" spans="1:12" x14ac:dyDescent="0.35">
      <c r="A206">
        <v>305</v>
      </c>
      <c r="B206" t="s">
        <v>32</v>
      </c>
      <c r="C206" t="s">
        <v>31</v>
      </c>
      <c r="D206" t="s">
        <v>16</v>
      </c>
      <c r="E206">
        <v>44955</v>
      </c>
      <c r="F206">
        <v>13498</v>
      </c>
      <c r="G206" t="s">
        <v>19</v>
      </c>
      <c r="H206" t="str">
        <f>INDEX([1]CUSTOMER_DATA!B:B, MATCH(B206, [1]CUSTOMER_DATA!A:A, 0))</f>
        <v>Retail</v>
      </c>
      <c r="I206" t="str">
        <f>IFERROR(
    INDEX([1]CUSTOMER_DATA!C:C, MATCH(B206, [1]CUSTOMER_DATA!A:A, 0)),
    "Unknown"
)</f>
        <v>Delhi</v>
      </c>
      <c r="J206" t="str">
        <f>IF(F206&gt;=20000,"high",IF(F206&gt;15000,"medium","low"))</f>
        <v>low</v>
      </c>
      <c r="K206" s="10">
        <f>IF(J207="high",0.1,IF(J207="medium",0.07,0.05))</f>
        <v>7.0000000000000007E-2</v>
      </c>
      <c r="L206" s="9">
        <f>PRODUCT(F206:K206)</f>
        <v>944.86000000000013</v>
      </c>
    </row>
    <row r="207" spans="1:12" x14ac:dyDescent="0.35">
      <c r="A207">
        <v>306</v>
      </c>
      <c r="B207" t="s">
        <v>27</v>
      </c>
      <c r="C207" t="s">
        <v>21</v>
      </c>
      <c r="D207" t="s">
        <v>16</v>
      </c>
      <c r="E207">
        <v>46110</v>
      </c>
      <c r="F207">
        <v>18665</v>
      </c>
      <c r="G207" t="s">
        <v>19</v>
      </c>
      <c r="H207" t="str">
        <f>INDEX([1]CUSTOMER_DATA!B:B, MATCH(B207, [1]CUSTOMER_DATA!A:A, 0))</f>
        <v>Corporate</v>
      </c>
      <c r="I207" t="str">
        <f>IFERROR(
    INDEX([1]CUSTOMER_DATA!C:C, MATCH(B207, [1]CUSTOMER_DATA!A:A, 0)),
    "Unknown"
)</f>
        <v>Mumbai</v>
      </c>
      <c r="J207" t="str">
        <f>IF(F207&gt;=20000,"high",IF(F207&gt;15000,"medium","low"))</f>
        <v>medium</v>
      </c>
      <c r="K207" s="10">
        <f>IF(J208="high",0.1,IF(J208="medium",0.07,0.05))</f>
        <v>0.1</v>
      </c>
      <c r="L207" s="9">
        <f>PRODUCT(F207:K207)</f>
        <v>1866.5</v>
      </c>
    </row>
    <row r="208" spans="1:12" x14ac:dyDescent="0.35">
      <c r="A208">
        <v>307</v>
      </c>
      <c r="B208" t="s">
        <v>33</v>
      </c>
      <c r="C208" t="s">
        <v>31</v>
      </c>
      <c r="D208" t="s">
        <v>16</v>
      </c>
      <c r="E208">
        <v>45925</v>
      </c>
      <c r="F208">
        <v>20000</v>
      </c>
      <c r="G208" t="s">
        <v>15</v>
      </c>
      <c r="H208" t="str">
        <f>INDEX([1]CUSTOMER_DATA!B:B, MATCH(B208, [1]CUSTOMER_DATA!A:A, 0))</f>
        <v>Corporate</v>
      </c>
      <c r="I208" t="str">
        <f>IFERROR(
    INDEX([1]CUSTOMER_DATA!C:C, MATCH(B208, [1]CUSTOMER_DATA!A:A, 0)),
    "Unknown"
)</f>
        <v>Surat</v>
      </c>
      <c r="J208" t="str">
        <f>IF(F208&gt;=20000,"high",IF(F208&gt;15000,"medium","low"))</f>
        <v>high</v>
      </c>
      <c r="K208" s="10">
        <f>IF(J209="high",0.1,IF(J209="medium",0.07,0.05))</f>
        <v>7.0000000000000007E-2</v>
      </c>
      <c r="L208" s="9">
        <f>PRODUCT(F208:K208)</f>
        <v>1400.0000000000002</v>
      </c>
    </row>
    <row r="209" spans="1:12" x14ac:dyDescent="0.35">
      <c r="A209">
        <v>308</v>
      </c>
      <c r="B209" t="s">
        <v>27</v>
      </c>
      <c r="C209" t="s">
        <v>31</v>
      </c>
      <c r="D209" t="s">
        <v>16</v>
      </c>
      <c r="E209">
        <v>44504</v>
      </c>
      <c r="F209">
        <v>15341</v>
      </c>
      <c r="G209" t="s">
        <v>15</v>
      </c>
      <c r="H209" t="str">
        <f>INDEX([1]CUSTOMER_DATA!B:B, MATCH(B209, [1]CUSTOMER_DATA!A:A, 0))</f>
        <v>Corporate</v>
      </c>
      <c r="I209" t="str">
        <f>IFERROR(
    INDEX([1]CUSTOMER_DATA!C:C, MATCH(B209, [1]CUSTOMER_DATA!A:A, 0)),
    "Unknown"
)</f>
        <v>Mumbai</v>
      </c>
      <c r="J209" t="str">
        <f>IF(F209&gt;=20000,"high",IF(F209&gt;15000,"medium","low"))</f>
        <v>medium</v>
      </c>
      <c r="K209" s="10">
        <f>IF(J210="high",0.1,IF(J210="medium",0.07,0.05))</f>
        <v>0.05</v>
      </c>
      <c r="L209" s="9">
        <f>PRODUCT(F209:K209)</f>
        <v>767.05000000000007</v>
      </c>
    </row>
    <row r="210" spans="1:12" x14ac:dyDescent="0.35">
      <c r="A210">
        <v>309</v>
      </c>
      <c r="B210" t="s">
        <v>27</v>
      </c>
      <c r="C210" t="s">
        <v>21</v>
      </c>
      <c r="D210" t="s">
        <v>20</v>
      </c>
      <c r="E210">
        <v>45967</v>
      </c>
      <c r="F210">
        <v>11012</v>
      </c>
      <c r="G210" t="s">
        <v>15</v>
      </c>
      <c r="H210" t="str">
        <f>INDEX([1]CUSTOMER_DATA!B:B, MATCH(B210, [1]CUSTOMER_DATA!A:A, 0))</f>
        <v>Corporate</v>
      </c>
      <c r="I210" t="str">
        <f>IFERROR(
    INDEX([1]CUSTOMER_DATA!C:C, MATCH(B210, [1]CUSTOMER_DATA!A:A, 0)),
    "Unknown"
)</f>
        <v>Mumbai</v>
      </c>
      <c r="J210" t="str">
        <f>IF(F210&gt;=20000,"high",IF(F210&gt;15000,"medium","low"))</f>
        <v>low</v>
      </c>
      <c r="K210" s="10">
        <f>IF(J211="high",0.1,IF(J211="medium",0.07,0.05))</f>
        <v>0.05</v>
      </c>
      <c r="L210" s="9">
        <f>PRODUCT(F210:K210)</f>
        <v>550.6</v>
      </c>
    </row>
    <row r="211" spans="1:12" x14ac:dyDescent="0.35">
      <c r="A211">
        <v>310</v>
      </c>
      <c r="B211" t="s">
        <v>32</v>
      </c>
      <c r="C211" t="s">
        <v>31</v>
      </c>
      <c r="D211" t="s">
        <v>30</v>
      </c>
      <c r="E211">
        <v>45486</v>
      </c>
      <c r="F211">
        <v>12378</v>
      </c>
      <c r="G211" t="s">
        <v>29</v>
      </c>
      <c r="H211" t="str">
        <f>INDEX([1]CUSTOMER_DATA!B:B, MATCH(B211, [1]CUSTOMER_DATA!A:A, 0))</f>
        <v>Retail</v>
      </c>
      <c r="I211" t="str">
        <f>IFERROR(
    INDEX([1]CUSTOMER_DATA!C:C, MATCH(B211, [1]CUSTOMER_DATA!A:A, 0)),
    "Unknown"
)</f>
        <v>Delhi</v>
      </c>
      <c r="J211" t="str">
        <f>IF(F211&gt;=20000,"high",IF(F211&gt;15000,"medium","low"))</f>
        <v>low</v>
      </c>
      <c r="K211" s="10">
        <f>IF(J212="high",0.1,IF(J212="medium",0.07,0.05))</f>
        <v>0.05</v>
      </c>
      <c r="L211" s="9">
        <f>PRODUCT(F211:K211)</f>
        <v>618.90000000000009</v>
      </c>
    </row>
    <row r="212" spans="1:12" x14ac:dyDescent="0.35">
      <c r="A212">
        <v>311</v>
      </c>
      <c r="B212" t="s">
        <v>28</v>
      </c>
      <c r="C212" t="s">
        <v>17</v>
      </c>
      <c r="D212" t="s">
        <v>16</v>
      </c>
      <c r="E212">
        <v>45024</v>
      </c>
      <c r="F212">
        <v>14439</v>
      </c>
      <c r="G212" t="s">
        <v>19</v>
      </c>
      <c r="H212" t="str">
        <f>INDEX([1]CUSTOMER_DATA!B:B, MATCH(B212, [1]CUSTOMER_DATA!A:A, 0))</f>
        <v>SMB</v>
      </c>
      <c r="I212" t="str">
        <f>IFERROR(
    INDEX([1]CUSTOMER_DATA!C:C, MATCH(B212, [1]CUSTOMER_DATA!A:A, 0)),
    "Unknown"
)</f>
        <v>Chennai</v>
      </c>
      <c r="J212" t="str">
        <f>IF(F212&gt;=20000,"high",IF(F212&gt;15000,"medium","low"))</f>
        <v>low</v>
      </c>
      <c r="K212" s="10">
        <f>IF(J213="high",0.1,IF(J213="medium",0.07,0.05))</f>
        <v>0.1</v>
      </c>
      <c r="L212" s="9">
        <f>PRODUCT(F212:K212)</f>
        <v>1443.9</v>
      </c>
    </row>
    <row r="213" spans="1:12" x14ac:dyDescent="0.35">
      <c r="A213">
        <v>312</v>
      </c>
      <c r="B213" t="s">
        <v>27</v>
      </c>
      <c r="C213" t="s">
        <v>23</v>
      </c>
      <c r="D213" t="s">
        <v>26</v>
      </c>
      <c r="E213">
        <v>44357</v>
      </c>
      <c r="F213">
        <v>20000</v>
      </c>
      <c r="G213" t="s">
        <v>25</v>
      </c>
      <c r="H213" t="str">
        <f>INDEX([1]CUSTOMER_DATA!B:B, MATCH(B213, [1]CUSTOMER_DATA!A:A, 0))</f>
        <v>Corporate</v>
      </c>
      <c r="I213" t="str">
        <f>IFERROR(
    INDEX([1]CUSTOMER_DATA!C:C, MATCH(B213, [1]CUSTOMER_DATA!A:A, 0)),
    "Unknown"
)</f>
        <v>Mumbai</v>
      </c>
      <c r="J213" t="str">
        <f>IF(F213&gt;=20000,"high",IF(F213&gt;15000,"medium","low"))</f>
        <v>high</v>
      </c>
      <c r="K213" s="10">
        <f>IF(J214="high",0.1,IF(J214="medium",0.07,0.05))</f>
        <v>7.0000000000000007E-2</v>
      </c>
      <c r="L213" s="9">
        <f>PRODUCT(F213:K213)</f>
        <v>1400.0000000000002</v>
      </c>
    </row>
    <row r="214" spans="1:12" x14ac:dyDescent="0.35">
      <c r="A214">
        <v>313</v>
      </c>
      <c r="B214" t="s">
        <v>24</v>
      </c>
      <c r="C214" t="s">
        <v>23</v>
      </c>
      <c r="D214" t="s">
        <v>20</v>
      </c>
      <c r="E214">
        <v>43958</v>
      </c>
      <c r="F214">
        <v>19524</v>
      </c>
      <c r="G214" t="s">
        <v>15</v>
      </c>
      <c r="H214" t="str">
        <f>INDEX([1]CUSTOMER_DATA!B:B, MATCH(B214, [1]CUSTOMER_DATA!A:A, 0))</f>
        <v>Corporate</v>
      </c>
      <c r="I214" t="str">
        <f>IFERROR(
    INDEX([1]CUSTOMER_DATA!C:C, MATCH(B214, [1]CUSTOMER_DATA!A:A, 0)),
    "Unknown"
)</f>
        <v>Ahmedabad</v>
      </c>
      <c r="J214" t="str">
        <f>IF(F214&gt;=20000,"high",IF(F214&gt;15000,"medium","low"))</f>
        <v>medium</v>
      </c>
      <c r="K214" s="10">
        <f>IF(J215="high",0.1,IF(J215="medium",0.07,0.05))</f>
        <v>7.0000000000000007E-2</v>
      </c>
      <c r="L214" s="9">
        <f>PRODUCT(F214:K214)</f>
        <v>1366.68</v>
      </c>
    </row>
    <row r="215" spans="1:12" x14ac:dyDescent="0.35">
      <c r="A215">
        <v>314</v>
      </c>
      <c r="B215" t="s">
        <v>22</v>
      </c>
      <c r="C215" t="s">
        <v>21</v>
      </c>
      <c r="D215" t="s">
        <v>20</v>
      </c>
      <c r="E215">
        <v>45546</v>
      </c>
      <c r="F215">
        <v>15459</v>
      </c>
      <c r="G215" t="s">
        <v>19</v>
      </c>
      <c r="H215" t="str">
        <f>INDEX([1]CUSTOMER_DATA!B:B, MATCH(B215, [1]CUSTOMER_DATA!A:A, 0))</f>
        <v>Retail</v>
      </c>
      <c r="I215" t="str">
        <f>IFERROR(
    INDEX([1]CUSTOMER_DATA!C:C, MATCH(B215, [1]CUSTOMER_DATA!A:A, 0)),
    "Unknown"
)</f>
        <v>Kolkata</v>
      </c>
      <c r="J215" t="str">
        <f>IF(F215&gt;=20000,"high",IF(F215&gt;15000,"medium","low"))</f>
        <v>medium</v>
      </c>
      <c r="K215" s="10">
        <f>IF(J216="high",0.1,IF(J216="medium",0.07,0.05))</f>
        <v>7.0000000000000007E-2</v>
      </c>
      <c r="L215" s="9">
        <f>PRODUCT(F215:K215)</f>
        <v>1082.1300000000001</v>
      </c>
    </row>
    <row r="216" spans="1:12" x14ac:dyDescent="0.35">
      <c r="A216">
        <v>315</v>
      </c>
      <c r="B216" t="s">
        <v>18</v>
      </c>
      <c r="C216" t="s">
        <v>17</v>
      </c>
      <c r="D216" t="s">
        <v>16</v>
      </c>
      <c r="E216">
        <v>44035</v>
      </c>
      <c r="F216">
        <v>15496</v>
      </c>
      <c r="G216" t="s">
        <v>29</v>
      </c>
      <c r="H216" t="str">
        <f>INDEX([1]CUSTOMER_DATA!B:B, MATCH(B216, [1]CUSTOMER_DATA!A:A, 0))</f>
        <v>SMB</v>
      </c>
      <c r="I216" t="str">
        <f>IFERROR(
    INDEX([1]CUSTOMER_DATA!C:C, MATCH(B216, [1]CUSTOMER_DATA!A:A, 0)),
    "Unknown"
)</f>
        <v>Pune</v>
      </c>
      <c r="J216" t="str">
        <f>IF(F216&gt;=20000,"high",IF(F216&gt;15000,"medium","low"))</f>
        <v>medium</v>
      </c>
      <c r="K216" s="10">
        <f>IF(J217="high",0.1,IF(J217="medium",0.07,0.05))</f>
        <v>7.0000000000000007E-2</v>
      </c>
      <c r="L216" s="9">
        <f>PRODUCT(F216:K216)</f>
        <v>1084.72</v>
      </c>
    </row>
    <row r="217" spans="1:12" x14ac:dyDescent="0.35">
      <c r="A217">
        <v>316</v>
      </c>
      <c r="B217" t="s">
        <v>27</v>
      </c>
      <c r="C217" t="s">
        <v>31</v>
      </c>
      <c r="D217" t="s">
        <v>30</v>
      </c>
      <c r="E217">
        <v>45410</v>
      </c>
      <c r="F217">
        <v>17064</v>
      </c>
      <c r="G217" t="s">
        <v>25</v>
      </c>
      <c r="H217" t="str">
        <f>INDEX([1]CUSTOMER_DATA!B:B, MATCH(B217, [1]CUSTOMER_DATA!A:A, 0))</f>
        <v>Corporate</v>
      </c>
      <c r="I217" t="str">
        <f>IFERROR(
    INDEX([1]CUSTOMER_DATA!C:C, MATCH(B217, [1]CUSTOMER_DATA!A:A, 0)),
    "Unknown"
)</f>
        <v>Mumbai</v>
      </c>
      <c r="J217" t="str">
        <f>IF(F217&gt;=20000,"high",IF(F217&gt;15000,"medium","low"))</f>
        <v>medium</v>
      </c>
      <c r="K217" s="10">
        <f>IF(J218="high",0.1,IF(J218="medium",0.07,0.05))</f>
        <v>0.05</v>
      </c>
      <c r="L217" s="9">
        <f>PRODUCT(F217:K217)</f>
        <v>853.2</v>
      </c>
    </row>
    <row r="218" spans="1:12" x14ac:dyDescent="0.35">
      <c r="A218">
        <v>317</v>
      </c>
      <c r="B218" t="s">
        <v>36</v>
      </c>
      <c r="C218" t="s">
        <v>23</v>
      </c>
      <c r="D218" t="s">
        <v>30</v>
      </c>
      <c r="E218">
        <v>44926</v>
      </c>
      <c r="F218">
        <v>12546</v>
      </c>
      <c r="G218" t="s">
        <v>19</v>
      </c>
      <c r="H218" t="str">
        <f>INDEX([1]CUSTOMER_DATA!B:B, MATCH(B218, [1]CUSTOMER_DATA!A:A, 0))</f>
        <v>Retail</v>
      </c>
      <c r="I218" t="str">
        <f>IFERROR(
    INDEX([1]CUSTOMER_DATA!C:C, MATCH(B218, [1]CUSTOMER_DATA!A:A, 0)),
    "Unknown"
)</f>
        <v>Hyderabad</v>
      </c>
      <c r="J218" t="str">
        <f>IF(F218&gt;=20000,"high",IF(F218&gt;15000,"medium","low"))</f>
        <v>low</v>
      </c>
      <c r="K218" s="10">
        <f>IF(J219="high",0.1,IF(J219="medium",0.07,0.05))</f>
        <v>0.05</v>
      </c>
      <c r="L218" s="9">
        <f>PRODUCT(F218:K218)</f>
        <v>627.30000000000007</v>
      </c>
    </row>
    <row r="219" spans="1:12" x14ac:dyDescent="0.35">
      <c r="A219">
        <v>318</v>
      </c>
      <c r="B219" t="s">
        <v>35</v>
      </c>
      <c r="C219" t="s">
        <v>23</v>
      </c>
      <c r="D219" t="s">
        <v>20</v>
      </c>
      <c r="E219">
        <v>44686</v>
      </c>
      <c r="F219">
        <v>12480</v>
      </c>
      <c r="G219" t="s">
        <v>25</v>
      </c>
      <c r="H219" t="str">
        <f>INDEX([1]CUSTOMER_DATA!B:B, MATCH(B219, [1]CUSTOMER_DATA!A:A, 0))</f>
        <v>Corporate</v>
      </c>
      <c r="I219" t="str">
        <f>IFERROR(
    INDEX([1]CUSTOMER_DATA!C:C, MATCH(B219, [1]CUSTOMER_DATA!A:A, 0)),
    "Unknown"
)</f>
        <v>Bangalore</v>
      </c>
      <c r="J219" t="str">
        <f>IF(F219&gt;=20000,"high",IF(F219&gt;15000,"medium","low"))</f>
        <v>low</v>
      </c>
      <c r="K219" s="10">
        <f>IF(J220="high",0.1,IF(J220="medium",0.07,0.05))</f>
        <v>0.05</v>
      </c>
      <c r="L219" s="9">
        <f>PRODUCT(F219:K219)</f>
        <v>624</v>
      </c>
    </row>
    <row r="220" spans="1:12" x14ac:dyDescent="0.35">
      <c r="A220">
        <v>319</v>
      </c>
      <c r="B220" t="s">
        <v>32</v>
      </c>
      <c r="C220" t="s">
        <v>17</v>
      </c>
      <c r="D220" t="s">
        <v>26</v>
      </c>
      <c r="E220">
        <v>44641</v>
      </c>
      <c r="F220">
        <v>10699</v>
      </c>
      <c r="G220" t="s">
        <v>29</v>
      </c>
      <c r="H220" t="str">
        <f>INDEX([1]CUSTOMER_DATA!B:B, MATCH(B220, [1]CUSTOMER_DATA!A:A, 0))</f>
        <v>Retail</v>
      </c>
      <c r="I220" t="str">
        <f>IFERROR(
    INDEX([1]CUSTOMER_DATA!C:C, MATCH(B220, [1]CUSTOMER_DATA!A:A, 0)),
    "Unknown"
)</f>
        <v>Delhi</v>
      </c>
      <c r="J220" t="str">
        <f>IF(F220&gt;=20000,"high",IF(F220&gt;15000,"medium","low"))</f>
        <v>low</v>
      </c>
      <c r="K220" s="10">
        <f>IF(J221="high",0.1,IF(J221="medium",0.07,0.05))</f>
        <v>0.05</v>
      </c>
      <c r="L220" s="9">
        <f>PRODUCT(F220:K220)</f>
        <v>534.95000000000005</v>
      </c>
    </row>
    <row r="221" spans="1:12" x14ac:dyDescent="0.35">
      <c r="A221">
        <v>320</v>
      </c>
      <c r="B221" t="s">
        <v>27</v>
      </c>
      <c r="C221" t="s">
        <v>21</v>
      </c>
      <c r="D221" t="s">
        <v>26</v>
      </c>
      <c r="E221">
        <v>45504</v>
      </c>
      <c r="F221">
        <v>10960</v>
      </c>
      <c r="G221" t="s">
        <v>25</v>
      </c>
      <c r="H221" t="str">
        <f>INDEX([1]CUSTOMER_DATA!B:B, MATCH(B221, [1]CUSTOMER_DATA!A:A, 0))</f>
        <v>Corporate</v>
      </c>
      <c r="I221" t="str">
        <f>IFERROR(
    INDEX([1]CUSTOMER_DATA!C:C, MATCH(B221, [1]CUSTOMER_DATA!A:A, 0)),
    "Unknown"
)</f>
        <v>Mumbai</v>
      </c>
      <c r="J221" t="str">
        <f>IF(F221&gt;=20000,"high",IF(F221&gt;15000,"medium","low"))</f>
        <v>low</v>
      </c>
      <c r="K221" s="10">
        <f>IF(J222="high",0.1,IF(J222="medium",0.07,0.05))</f>
        <v>0.1</v>
      </c>
      <c r="L221" s="9">
        <f>PRODUCT(F221:K221)</f>
        <v>1096</v>
      </c>
    </row>
    <row r="222" spans="1:12" x14ac:dyDescent="0.35">
      <c r="A222">
        <v>321</v>
      </c>
      <c r="B222" t="s">
        <v>34</v>
      </c>
      <c r="C222" t="s">
        <v>23</v>
      </c>
      <c r="D222" t="s">
        <v>16</v>
      </c>
      <c r="E222">
        <v>44483</v>
      </c>
      <c r="F222">
        <v>20000</v>
      </c>
      <c r="G222" t="s">
        <v>19</v>
      </c>
      <c r="H222" t="str">
        <f>INDEX([1]CUSTOMER_DATA!B:B, MATCH(B222, [1]CUSTOMER_DATA!A:A, 0))</f>
        <v>SMB</v>
      </c>
      <c r="I222" t="str">
        <f>IFERROR(
    INDEX([1]CUSTOMER_DATA!C:C, MATCH(B222, [1]CUSTOMER_DATA!A:A, 0)),
    "Unknown"
)</f>
        <v>Jaipur</v>
      </c>
      <c r="J222" t="str">
        <f>IF(F222&gt;=20000,"high",IF(F222&gt;15000,"medium","low"))</f>
        <v>high</v>
      </c>
      <c r="K222" s="10">
        <f>IF(J223="high",0.1,IF(J223="medium",0.07,0.05))</f>
        <v>0.05</v>
      </c>
      <c r="L222" s="9">
        <f>PRODUCT(F222:K222)</f>
        <v>1000</v>
      </c>
    </row>
    <row r="223" spans="1:12" x14ac:dyDescent="0.35">
      <c r="A223">
        <v>322</v>
      </c>
      <c r="B223" t="s">
        <v>32</v>
      </c>
      <c r="C223" t="s">
        <v>17</v>
      </c>
      <c r="D223" t="s">
        <v>30</v>
      </c>
      <c r="E223">
        <v>44333</v>
      </c>
      <c r="F223">
        <v>11654</v>
      </c>
      <c r="G223" t="s">
        <v>19</v>
      </c>
      <c r="H223" t="str">
        <f>INDEX([1]CUSTOMER_DATA!B:B, MATCH(B223, [1]CUSTOMER_DATA!A:A, 0))</f>
        <v>Retail</v>
      </c>
      <c r="I223" t="str">
        <f>IFERROR(
    INDEX([1]CUSTOMER_DATA!C:C, MATCH(B223, [1]CUSTOMER_DATA!A:A, 0)),
    "Unknown"
)</f>
        <v>Delhi</v>
      </c>
      <c r="J223" t="str">
        <f>IF(F223&gt;=20000,"high",IF(F223&gt;15000,"medium","low"))</f>
        <v>low</v>
      </c>
      <c r="K223" s="10">
        <f>IF(J224="high",0.1,IF(J224="medium",0.07,0.05))</f>
        <v>0.05</v>
      </c>
      <c r="L223" s="9">
        <f>PRODUCT(F223:K223)</f>
        <v>582.70000000000005</v>
      </c>
    </row>
    <row r="224" spans="1:12" x14ac:dyDescent="0.35">
      <c r="A224">
        <v>323</v>
      </c>
      <c r="B224" t="s">
        <v>32</v>
      </c>
      <c r="C224" t="s">
        <v>31</v>
      </c>
      <c r="D224" t="s">
        <v>16</v>
      </c>
      <c r="E224">
        <v>44955</v>
      </c>
      <c r="F224">
        <v>13498</v>
      </c>
      <c r="G224" t="s">
        <v>19</v>
      </c>
      <c r="H224" t="str">
        <f>INDEX([1]CUSTOMER_DATA!B:B, MATCH(B224, [1]CUSTOMER_DATA!A:A, 0))</f>
        <v>Retail</v>
      </c>
      <c r="I224" t="str">
        <f>IFERROR(
    INDEX([1]CUSTOMER_DATA!C:C, MATCH(B224, [1]CUSTOMER_DATA!A:A, 0)),
    "Unknown"
)</f>
        <v>Delhi</v>
      </c>
      <c r="J224" t="str">
        <f>IF(F224&gt;=20000,"high",IF(F224&gt;15000,"medium","low"))</f>
        <v>low</v>
      </c>
      <c r="K224" s="10">
        <f>IF(J225="high",0.1,IF(J225="medium",0.07,0.05))</f>
        <v>7.0000000000000007E-2</v>
      </c>
      <c r="L224" s="9">
        <f>PRODUCT(F224:K224)</f>
        <v>944.86000000000013</v>
      </c>
    </row>
    <row r="225" spans="1:12" x14ac:dyDescent="0.35">
      <c r="A225">
        <v>324</v>
      </c>
      <c r="B225" t="s">
        <v>27</v>
      </c>
      <c r="C225" t="s">
        <v>21</v>
      </c>
      <c r="D225" t="s">
        <v>16</v>
      </c>
      <c r="E225">
        <v>46110</v>
      </c>
      <c r="F225">
        <v>18665</v>
      </c>
      <c r="G225" t="s">
        <v>19</v>
      </c>
      <c r="H225" t="str">
        <f>INDEX([1]CUSTOMER_DATA!B:B, MATCH(B225, [1]CUSTOMER_DATA!A:A, 0))</f>
        <v>Corporate</v>
      </c>
      <c r="I225" t="str">
        <f>IFERROR(
    INDEX([1]CUSTOMER_DATA!C:C, MATCH(B225, [1]CUSTOMER_DATA!A:A, 0)),
    "Unknown"
)</f>
        <v>Mumbai</v>
      </c>
      <c r="J225" t="str">
        <f>IF(F225&gt;=20000,"high",IF(F225&gt;15000,"medium","low"))</f>
        <v>medium</v>
      </c>
      <c r="K225" s="10">
        <f>IF(J226="high",0.1,IF(J226="medium",0.07,0.05))</f>
        <v>0.1</v>
      </c>
      <c r="L225" s="9">
        <f>PRODUCT(F225:K225)</f>
        <v>1866.5</v>
      </c>
    </row>
    <row r="226" spans="1:12" x14ac:dyDescent="0.35">
      <c r="A226">
        <v>325</v>
      </c>
      <c r="B226" t="s">
        <v>33</v>
      </c>
      <c r="C226" t="s">
        <v>31</v>
      </c>
      <c r="D226" t="s">
        <v>16</v>
      </c>
      <c r="E226">
        <v>45925</v>
      </c>
      <c r="F226">
        <v>20000</v>
      </c>
      <c r="G226" t="s">
        <v>15</v>
      </c>
      <c r="H226" t="str">
        <f>INDEX([1]CUSTOMER_DATA!B:B, MATCH(B226, [1]CUSTOMER_DATA!A:A, 0))</f>
        <v>Corporate</v>
      </c>
      <c r="I226" t="str">
        <f>IFERROR(
    INDEX([1]CUSTOMER_DATA!C:C, MATCH(B226, [1]CUSTOMER_DATA!A:A, 0)),
    "Unknown"
)</f>
        <v>Surat</v>
      </c>
      <c r="J226" t="str">
        <f>IF(F226&gt;=20000,"high",IF(F226&gt;15000,"medium","low"))</f>
        <v>high</v>
      </c>
      <c r="K226" s="10">
        <f>IF(J227="high",0.1,IF(J227="medium",0.07,0.05))</f>
        <v>7.0000000000000007E-2</v>
      </c>
      <c r="L226" s="9">
        <f>PRODUCT(F226:K226)</f>
        <v>1400.0000000000002</v>
      </c>
    </row>
    <row r="227" spans="1:12" x14ac:dyDescent="0.35">
      <c r="A227">
        <v>326</v>
      </c>
      <c r="B227" t="s">
        <v>27</v>
      </c>
      <c r="C227" t="s">
        <v>31</v>
      </c>
      <c r="D227" t="s">
        <v>16</v>
      </c>
      <c r="E227">
        <v>44504</v>
      </c>
      <c r="F227">
        <v>15341</v>
      </c>
      <c r="G227" t="s">
        <v>15</v>
      </c>
      <c r="H227" t="str">
        <f>INDEX([1]CUSTOMER_DATA!B:B, MATCH(B227, [1]CUSTOMER_DATA!A:A, 0))</f>
        <v>Corporate</v>
      </c>
      <c r="I227" t="str">
        <f>IFERROR(
    INDEX([1]CUSTOMER_DATA!C:C, MATCH(B227, [1]CUSTOMER_DATA!A:A, 0)),
    "Unknown"
)</f>
        <v>Mumbai</v>
      </c>
      <c r="J227" t="str">
        <f>IF(F227&gt;=20000,"high",IF(F227&gt;15000,"medium","low"))</f>
        <v>medium</v>
      </c>
      <c r="K227" s="10">
        <f>IF(J228="high",0.1,IF(J228="medium",0.07,0.05))</f>
        <v>0.05</v>
      </c>
      <c r="L227" s="9">
        <f>PRODUCT(F227:K227)</f>
        <v>767.05000000000007</v>
      </c>
    </row>
    <row r="228" spans="1:12" x14ac:dyDescent="0.35">
      <c r="A228">
        <v>327</v>
      </c>
      <c r="B228" t="s">
        <v>28</v>
      </c>
      <c r="C228" t="s">
        <v>17</v>
      </c>
      <c r="D228" t="s">
        <v>16</v>
      </c>
      <c r="E228">
        <v>45024</v>
      </c>
      <c r="F228">
        <v>14439</v>
      </c>
      <c r="G228" t="s">
        <v>19</v>
      </c>
      <c r="H228" t="str">
        <f>INDEX([1]CUSTOMER_DATA!B:B, MATCH(B228, [1]CUSTOMER_DATA!A:A, 0))</f>
        <v>SMB</v>
      </c>
      <c r="I228" t="str">
        <f>IFERROR(
    INDEX([1]CUSTOMER_DATA!C:C, MATCH(B228, [1]CUSTOMER_DATA!A:A, 0)),
    "Unknown"
)</f>
        <v>Chennai</v>
      </c>
      <c r="J228" t="str">
        <f>IF(F228&gt;=20000,"high",IF(F228&gt;15000,"medium","low"))</f>
        <v>low</v>
      </c>
      <c r="K228" s="10">
        <f>IF(J229="high",0.1,IF(J229="medium",0.07,0.05))</f>
        <v>0.1</v>
      </c>
      <c r="L228" s="9">
        <f>PRODUCT(F228:K228)</f>
        <v>1443.9</v>
      </c>
    </row>
    <row r="229" spans="1:12" x14ac:dyDescent="0.35">
      <c r="A229">
        <v>328</v>
      </c>
      <c r="B229" t="s">
        <v>27</v>
      </c>
      <c r="C229" t="s">
        <v>23</v>
      </c>
      <c r="D229" t="s">
        <v>26</v>
      </c>
      <c r="E229">
        <v>44357</v>
      </c>
      <c r="F229">
        <v>20000</v>
      </c>
      <c r="G229" t="s">
        <v>25</v>
      </c>
      <c r="H229" t="str">
        <f>INDEX([1]CUSTOMER_DATA!B:B, MATCH(B229, [1]CUSTOMER_DATA!A:A, 0))</f>
        <v>Corporate</v>
      </c>
      <c r="I229" t="str">
        <f>IFERROR(
    INDEX([1]CUSTOMER_DATA!C:C, MATCH(B229, [1]CUSTOMER_DATA!A:A, 0)),
    "Unknown"
)</f>
        <v>Mumbai</v>
      </c>
      <c r="J229" t="str">
        <f>IF(F229&gt;=20000,"high",IF(F229&gt;15000,"medium","low"))</f>
        <v>high</v>
      </c>
      <c r="K229" s="10">
        <f>IF(J230="high",0.1,IF(J230="medium",0.07,0.05))</f>
        <v>7.0000000000000007E-2</v>
      </c>
      <c r="L229" s="9">
        <f>PRODUCT(F229:K229)</f>
        <v>1400.0000000000002</v>
      </c>
    </row>
    <row r="230" spans="1:12" x14ac:dyDescent="0.35">
      <c r="A230">
        <v>329</v>
      </c>
      <c r="B230" t="s">
        <v>24</v>
      </c>
      <c r="C230" t="s">
        <v>23</v>
      </c>
      <c r="D230" t="s">
        <v>20</v>
      </c>
      <c r="E230">
        <v>43958</v>
      </c>
      <c r="F230">
        <v>19524</v>
      </c>
      <c r="G230" t="s">
        <v>15</v>
      </c>
      <c r="H230" t="str">
        <f>INDEX([1]CUSTOMER_DATA!B:B, MATCH(B230, [1]CUSTOMER_DATA!A:A, 0))</f>
        <v>Corporate</v>
      </c>
      <c r="I230" t="str">
        <f>IFERROR(
    INDEX([1]CUSTOMER_DATA!C:C, MATCH(B230, [1]CUSTOMER_DATA!A:A, 0)),
    "Unknown"
)</f>
        <v>Ahmedabad</v>
      </c>
      <c r="J230" t="str">
        <f>IF(F230&gt;=20000,"high",IF(F230&gt;15000,"medium","low"))</f>
        <v>medium</v>
      </c>
      <c r="K230" s="10">
        <f>IF(J231="high",0.1,IF(J231="medium",0.07,0.05))</f>
        <v>7.0000000000000007E-2</v>
      </c>
      <c r="L230" s="9">
        <f>PRODUCT(F230:K230)</f>
        <v>1366.68</v>
      </c>
    </row>
    <row r="231" spans="1:12" x14ac:dyDescent="0.35">
      <c r="A231">
        <v>330</v>
      </c>
      <c r="B231" t="s">
        <v>22</v>
      </c>
      <c r="C231" t="s">
        <v>21</v>
      </c>
      <c r="D231" t="s">
        <v>20</v>
      </c>
      <c r="E231">
        <v>45546</v>
      </c>
      <c r="F231">
        <v>15459</v>
      </c>
      <c r="G231" t="s">
        <v>19</v>
      </c>
      <c r="H231" t="str">
        <f>INDEX([1]CUSTOMER_DATA!B:B, MATCH(B231, [1]CUSTOMER_DATA!A:A, 0))</f>
        <v>Retail</v>
      </c>
      <c r="I231" t="str">
        <f>IFERROR(
    INDEX([1]CUSTOMER_DATA!C:C, MATCH(B231, [1]CUSTOMER_DATA!A:A, 0)),
    "Unknown"
)</f>
        <v>Kolkata</v>
      </c>
      <c r="J231" t="str">
        <f>IF(F231&gt;=20000,"high",IF(F231&gt;15000,"medium","low"))</f>
        <v>medium</v>
      </c>
      <c r="K231" s="10">
        <f>IF(J232="high",0.1,IF(J232="medium",0.07,0.05))</f>
        <v>7.0000000000000007E-2</v>
      </c>
      <c r="L231" s="9">
        <f>PRODUCT(F231:K231)</f>
        <v>1082.1300000000001</v>
      </c>
    </row>
    <row r="232" spans="1:12" x14ac:dyDescent="0.35">
      <c r="A232">
        <v>331</v>
      </c>
      <c r="B232" t="s">
        <v>18</v>
      </c>
      <c r="C232" t="s">
        <v>17</v>
      </c>
      <c r="D232" t="s">
        <v>16</v>
      </c>
      <c r="E232">
        <v>44035</v>
      </c>
      <c r="F232">
        <v>15496</v>
      </c>
      <c r="G232" t="s">
        <v>29</v>
      </c>
      <c r="H232" t="str">
        <f>INDEX([1]CUSTOMER_DATA!B:B, MATCH(B232, [1]CUSTOMER_DATA!A:A, 0))</f>
        <v>SMB</v>
      </c>
      <c r="I232" t="str">
        <f>IFERROR(
    INDEX([1]CUSTOMER_DATA!C:C, MATCH(B232, [1]CUSTOMER_DATA!A:A, 0)),
    "Unknown"
)</f>
        <v>Pune</v>
      </c>
      <c r="J232" t="str">
        <f>IF(F232&gt;=20000,"high",IF(F232&gt;15000,"medium","low"))</f>
        <v>medium</v>
      </c>
      <c r="K232" s="10">
        <f>IF(J233="high",0.1,IF(J233="medium",0.07,0.05))</f>
        <v>7.0000000000000007E-2</v>
      </c>
      <c r="L232" s="9">
        <f>PRODUCT(F232:K232)</f>
        <v>1084.72</v>
      </c>
    </row>
    <row r="233" spans="1:12" x14ac:dyDescent="0.35">
      <c r="A233">
        <v>332</v>
      </c>
      <c r="B233" t="s">
        <v>27</v>
      </c>
      <c r="C233" t="s">
        <v>31</v>
      </c>
      <c r="D233" t="s">
        <v>30</v>
      </c>
      <c r="E233">
        <v>45410</v>
      </c>
      <c r="F233">
        <v>17064</v>
      </c>
      <c r="G233" t="s">
        <v>25</v>
      </c>
      <c r="H233" t="str">
        <f>INDEX([1]CUSTOMER_DATA!B:B, MATCH(B233, [1]CUSTOMER_DATA!A:A, 0))</f>
        <v>Corporate</v>
      </c>
      <c r="I233" t="str">
        <f>IFERROR(
    INDEX([1]CUSTOMER_DATA!C:C, MATCH(B233, [1]CUSTOMER_DATA!A:A, 0)),
    "Unknown"
)</f>
        <v>Mumbai</v>
      </c>
      <c r="J233" t="str">
        <f>IF(F233&gt;=20000,"high",IF(F233&gt;15000,"medium","low"))</f>
        <v>medium</v>
      </c>
      <c r="K233" s="10">
        <f>IF(J234="high",0.1,IF(J234="medium",0.07,0.05))</f>
        <v>0.05</v>
      </c>
      <c r="L233" s="9">
        <f>PRODUCT(F233:K233)</f>
        <v>853.2</v>
      </c>
    </row>
    <row r="234" spans="1:12" x14ac:dyDescent="0.35">
      <c r="A234">
        <v>333</v>
      </c>
      <c r="B234" t="s">
        <v>36</v>
      </c>
      <c r="C234" t="s">
        <v>23</v>
      </c>
      <c r="D234" t="s">
        <v>30</v>
      </c>
      <c r="E234">
        <v>44926</v>
      </c>
      <c r="F234">
        <v>12546</v>
      </c>
      <c r="G234" t="s">
        <v>19</v>
      </c>
      <c r="H234" t="str">
        <f>INDEX([1]CUSTOMER_DATA!B:B, MATCH(B234, [1]CUSTOMER_DATA!A:A, 0))</f>
        <v>Retail</v>
      </c>
      <c r="I234" t="str">
        <f>IFERROR(
    INDEX([1]CUSTOMER_DATA!C:C, MATCH(B234, [1]CUSTOMER_DATA!A:A, 0)),
    "Unknown"
)</f>
        <v>Hyderabad</v>
      </c>
      <c r="J234" t="str">
        <f>IF(F234&gt;=20000,"high",IF(F234&gt;15000,"medium","low"))</f>
        <v>low</v>
      </c>
      <c r="K234" s="10">
        <f>IF(J235="high",0.1,IF(J235="medium",0.07,0.05))</f>
        <v>0.05</v>
      </c>
      <c r="L234" s="9">
        <f>PRODUCT(F234:K234)</f>
        <v>627.30000000000007</v>
      </c>
    </row>
    <row r="235" spans="1:12" x14ac:dyDescent="0.35">
      <c r="A235">
        <v>334</v>
      </c>
      <c r="B235" t="s">
        <v>35</v>
      </c>
      <c r="C235" t="s">
        <v>23</v>
      </c>
      <c r="D235" t="s">
        <v>20</v>
      </c>
      <c r="E235">
        <v>44686</v>
      </c>
      <c r="F235">
        <v>12480</v>
      </c>
      <c r="G235" t="s">
        <v>25</v>
      </c>
      <c r="H235" t="str">
        <f>INDEX([1]CUSTOMER_DATA!B:B, MATCH(B235, [1]CUSTOMER_DATA!A:A, 0))</f>
        <v>Corporate</v>
      </c>
      <c r="I235" t="str">
        <f>IFERROR(
    INDEX([1]CUSTOMER_DATA!C:C, MATCH(B235, [1]CUSTOMER_DATA!A:A, 0)),
    "Unknown"
)</f>
        <v>Bangalore</v>
      </c>
      <c r="J235" t="str">
        <f>IF(F235&gt;=20000,"high",IF(F235&gt;15000,"medium","low"))</f>
        <v>low</v>
      </c>
      <c r="K235" s="10">
        <f>IF(J236="high",0.1,IF(J236="medium",0.07,0.05))</f>
        <v>0.05</v>
      </c>
      <c r="L235" s="9">
        <f>PRODUCT(F235:K235)</f>
        <v>624</v>
      </c>
    </row>
    <row r="236" spans="1:12" x14ac:dyDescent="0.35">
      <c r="A236">
        <v>335</v>
      </c>
      <c r="B236" t="s">
        <v>32</v>
      </c>
      <c r="C236" t="s">
        <v>17</v>
      </c>
      <c r="D236" t="s">
        <v>26</v>
      </c>
      <c r="E236">
        <v>44641</v>
      </c>
      <c r="F236">
        <v>10699</v>
      </c>
      <c r="G236" t="s">
        <v>29</v>
      </c>
      <c r="H236" t="str">
        <f>INDEX([1]CUSTOMER_DATA!B:B, MATCH(B236, [1]CUSTOMER_DATA!A:A, 0))</f>
        <v>Retail</v>
      </c>
      <c r="I236" t="str">
        <f>IFERROR(
    INDEX([1]CUSTOMER_DATA!C:C, MATCH(B236, [1]CUSTOMER_DATA!A:A, 0)),
    "Unknown"
)</f>
        <v>Delhi</v>
      </c>
      <c r="J236" t="str">
        <f>IF(F236&gt;=20000,"high",IF(F236&gt;15000,"medium","low"))</f>
        <v>low</v>
      </c>
      <c r="K236" s="10">
        <f>IF(J237="high",0.1,IF(J237="medium",0.07,0.05))</f>
        <v>0.05</v>
      </c>
      <c r="L236" s="9">
        <f>PRODUCT(F236:K236)</f>
        <v>534.95000000000005</v>
      </c>
    </row>
    <row r="237" spans="1:12" x14ac:dyDescent="0.35">
      <c r="A237">
        <v>336</v>
      </c>
      <c r="B237" t="s">
        <v>27</v>
      </c>
      <c r="C237" t="s">
        <v>21</v>
      </c>
      <c r="D237" t="s">
        <v>26</v>
      </c>
      <c r="E237">
        <v>45504</v>
      </c>
      <c r="F237">
        <v>10960</v>
      </c>
      <c r="G237" t="s">
        <v>25</v>
      </c>
      <c r="H237" t="str">
        <f>INDEX([1]CUSTOMER_DATA!B:B, MATCH(B237, [1]CUSTOMER_DATA!A:A, 0))</f>
        <v>Corporate</v>
      </c>
      <c r="I237" t="str">
        <f>IFERROR(
    INDEX([1]CUSTOMER_DATA!C:C, MATCH(B237, [1]CUSTOMER_DATA!A:A, 0)),
    "Unknown"
)</f>
        <v>Mumbai</v>
      </c>
      <c r="J237" t="str">
        <f>IF(F237&gt;=20000,"high",IF(F237&gt;15000,"medium","low"))</f>
        <v>low</v>
      </c>
      <c r="K237" s="10">
        <f>IF(J238="high",0.1,IF(J238="medium",0.07,0.05))</f>
        <v>0.1</v>
      </c>
      <c r="L237" s="9">
        <f>PRODUCT(F237:K237)</f>
        <v>1096</v>
      </c>
    </row>
    <row r="238" spans="1:12" x14ac:dyDescent="0.35">
      <c r="A238">
        <v>337</v>
      </c>
      <c r="B238" t="s">
        <v>34</v>
      </c>
      <c r="C238" t="s">
        <v>23</v>
      </c>
      <c r="D238" t="s">
        <v>16</v>
      </c>
      <c r="E238">
        <v>44483</v>
      </c>
      <c r="F238">
        <v>20000</v>
      </c>
      <c r="G238" t="s">
        <v>19</v>
      </c>
      <c r="H238" t="str">
        <f>INDEX([1]CUSTOMER_DATA!B:B, MATCH(B238, [1]CUSTOMER_DATA!A:A, 0))</f>
        <v>SMB</v>
      </c>
      <c r="I238" t="str">
        <f>IFERROR(
    INDEX([1]CUSTOMER_DATA!C:C, MATCH(B238, [1]CUSTOMER_DATA!A:A, 0)),
    "Unknown"
)</f>
        <v>Jaipur</v>
      </c>
      <c r="J238" t="str">
        <f>IF(F238&gt;=20000,"high",IF(F238&gt;15000,"medium","low"))</f>
        <v>high</v>
      </c>
      <c r="K238" s="10">
        <f>IF(J239="high",0.1,IF(J239="medium",0.07,0.05))</f>
        <v>0.05</v>
      </c>
      <c r="L238" s="9">
        <f>PRODUCT(F238:K238)</f>
        <v>1000</v>
      </c>
    </row>
    <row r="239" spans="1:12" x14ac:dyDescent="0.35">
      <c r="A239">
        <v>338</v>
      </c>
      <c r="B239" t="s">
        <v>32</v>
      </c>
      <c r="C239" t="s">
        <v>17</v>
      </c>
      <c r="D239" t="s">
        <v>30</v>
      </c>
      <c r="E239">
        <v>44333</v>
      </c>
      <c r="F239">
        <v>11654</v>
      </c>
      <c r="G239" t="s">
        <v>19</v>
      </c>
      <c r="H239" t="str">
        <f>INDEX([1]CUSTOMER_DATA!B:B, MATCH(B239, [1]CUSTOMER_DATA!A:A, 0))</f>
        <v>Retail</v>
      </c>
      <c r="I239" t="str">
        <f>IFERROR(
    INDEX([1]CUSTOMER_DATA!C:C, MATCH(B239, [1]CUSTOMER_DATA!A:A, 0)),
    "Unknown"
)</f>
        <v>Delhi</v>
      </c>
      <c r="J239" t="str">
        <f>IF(F239&gt;=20000,"high",IF(F239&gt;15000,"medium","low"))</f>
        <v>low</v>
      </c>
      <c r="K239" s="10">
        <f>IF(J240="high",0.1,IF(J240="medium",0.07,0.05))</f>
        <v>0.05</v>
      </c>
      <c r="L239" s="9">
        <f>PRODUCT(F239:K239)</f>
        <v>582.70000000000005</v>
      </c>
    </row>
    <row r="240" spans="1:12" x14ac:dyDescent="0.35">
      <c r="A240">
        <v>339</v>
      </c>
      <c r="B240" t="s">
        <v>32</v>
      </c>
      <c r="C240" t="s">
        <v>31</v>
      </c>
      <c r="D240" t="s">
        <v>16</v>
      </c>
      <c r="E240">
        <v>44955</v>
      </c>
      <c r="F240">
        <v>13498</v>
      </c>
      <c r="G240" t="s">
        <v>19</v>
      </c>
      <c r="H240" t="str">
        <f>INDEX([1]CUSTOMER_DATA!B:B, MATCH(B240, [1]CUSTOMER_DATA!A:A, 0))</f>
        <v>Retail</v>
      </c>
      <c r="I240" t="str">
        <f>IFERROR(
    INDEX([1]CUSTOMER_DATA!C:C, MATCH(B240, [1]CUSTOMER_DATA!A:A, 0)),
    "Unknown"
)</f>
        <v>Delhi</v>
      </c>
      <c r="J240" t="str">
        <f>IF(F240&gt;=20000,"high",IF(F240&gt;15000,"medium","low"))</f>
        <v>low</v>
      </c>
      <c r="K240" s="10">
        <f>IF(J241="high",0.1,IF(J241="medium",0.07,0.05))</f>
        <v>7.0000000000000007E-2</v>
      </c>
      <c r="L240" s="9">
        <f>PRODUCT(F240:K240)</f>
        <v>944.86000000000013</v>
      </c>
    </row>
    <row r="241" spans="1:12" x14ac:dyDescent="0.35">
      <c r="A241">
        <v>340</v>
      </c>
      <c r="B241" t="s">
        <v>27</v>
      </c>
      <c r="C241" t="s">
        <v>21</v>
      </c>
      <c r="D241" t="s">
        <v>16</v>
      </c>
      <c r="E241">
        <v>46110</v>
      </c>
      <c r="F241">
        <v>18665</v>
      </c>
      <c r="G241" t="s">
        <v>19</v>
      </c>
      <c r="H241" t="str">
        <f>INDEX([1]CUSTOMER_DATA!B:B, MATCH(B241, [1]CUSTOMER_DATA!A:A, 0))</f>
        <v>Corporate</v>
      </c>
      <c r="I241" t="str">
        <f>IFERROR(
    INDEX([1]CUSTOMER_DATA!C:C, MATCH(B241, [1]CUSTOMER_DATA!A:A, 0)),
    "Unknown"
)</f>
        <v>Mumbai</v>
      </c>
      <c r="J241" t="str">
        <f>IF(F241&gt;=20000,"high",IF(F241&gt;15000,"medium","low"))</f>
        <v>medium</v>
      </c>
      <c r="K241" s="10">
        <f>IF(J242="high",0.1,IF(J242="medium",0.07,0.05))</f>
        <v>0.1</v>
      </c>
      <c r="L241" s="9">
        <f>PRODUCT(F241:K241)</f>
        <v>1866.5</v>
      </c>
    </row>
    <row r="242" spans="1:12" x14ac:dyDescent="0.35">
      <c r="A242">
        <v>341</v>
      </c>
      <c r="B242" t="s">
        <v>33</v>
      </c>
      <c r="C242" t="s">
        <v>31</v>
      </c>
      <c r="D242" t="s">
        <v>16</v>
      </c>
      <c r="E242">
        <v>45925</v>
      </c>
      <c r="F242">
        <v>20000</v>
      </c>
      <c r="G242" t="s">
        <v>15</v>
      </c>
      <c r="H242" t="str">
        <f>INDEX([1]CUSTOMER_DATA!B:B, MATCH(B242, [1]CUSTOMER_DATA!A:A, 0))</f>
        <v>Corporate</v>
      </c>
      <c r="I242" t="str">
        <f>IFERROR(
    INDEX([1]CUSTOMER_DATA!C:C, MATCH(B242, [1]CUSTOMER_DATA!A:A, 0)),
    "Unknown"
)</f>
        <v>Surat</v>
      </c>
      <c r="J242" t="str">
        <f>IF(F242&gt;=20000,"high",IF(F242&gt;15000,"medium","low"))</f>
        <v>high</v>
      </c>
      <c r="K242" s="10">
        <f>IF(J243="high",0.1,IF(J243="medium",0.07,0.05))</f>
        <v>7.0000000000000007E-2</v>
      </c>
      <c r="L242" s="9">
        <f>PRODUCT(F242:K242)</f>
        <v>1400.0000000000002</v>
      </c>
    </row>
    <row r="243" spans="1:12" x14ac:dyDescent="0.35">
      <c r="A243">
        <v>342</v>
      </c>
      <c r="B243" t="s">
        <v>27</v>
      </c>
      <c r="C243" t="s">
        <v>31</v>
      </c>
      <c r="D243" t="s">
        <v>16</v>
      </c>
      <c r="E243">
        <v>44504</v>
      </c>
      <c r="F243">
        <v>15341</v>
      </c>
      <c r="G243" t="s">
        <v>15</v>
      </c>
      <c r="H243" t="str">
        <f>INDEX([1]CUSTOMER_DATA!B:B, MATCH(B243, [1]CUSTOMER_DATA!A:A, 0))</f>
        <v>Corporate</v>
      </c>
      <c r="I243" t="str">
        <f>IFERROR(
    INDEX([1]CUSTOMER_DATA!C:C, MATCH(B243, [1]CUSTOMER_DATA!A:A, 0)),
    "Unknown"
)</f>
        <v>Mumbai</v>
      </c>
      <c r="J243" t="str">
        <f>IF(F243&gt;=20000,"high",IF(F243&gt;15000,"medium","low"))</f>
        <v>medium</v>
      </c>
      <c r="K243" s="10">
        <f>IF(J244="high",0.1,IF(J244="medium",0.07,0.05))</f>
        <v>0.05</v>
      </c>
      <c r="L243" s="9">
        <f>PRODUCT(F243:K243)</f>
        <v>767.05000000000007</v>
      </c>
    </row>
    <row r="244" spans="1:12" x14ac:dyDescent="0.35">
      <c r="A244">
        <v>343</v>
      </c>
      <c r="B244" t="s">
        <v>27</v>
      </c>
      <c r="C244" t="s">
        <v>21</v>
      </c>
      <c r="D244" t="s">
        <v>20</v>
      </c>
      <c r="E244">
        <v>45967</v>
      </c>
      <c r="F244">
        <v>11012</v>
      </c>
      <c r="G244" t="s">
        <v>15</v>
      </c>
      <c r="H244" t="str">
        <f>INDEX([1]CUSTOMER_DATA!B:B, MATCH(B244, [1]CUSTOMER_DATA!A:A, 0))</f>
        <v>Corporate</v>
      </c>
      <c r="I244" t="str">
        <f>IFERROR(
    INDEX([1]CUSTOMER_DATA!C:C, MATCH(B244, [1]CUSTOMER_DATA!A:A, 0)),
    "Unknown"
)</f>
        <v>Mumbai</v>
      </c>
      <c r="J244" t="str">
        <f>IF(F244&gt;=20000,"high",IF(F244&gt;15000,"medium","low"))</f>
        <v>low</v>
      </c>
      <c r="K244" s="10">
        <f>IF(J245="high",0.1,IF(J245="medium",0.07,0.05))</f>
        <v>0.05</v>
      </c>
      <c r="L244" s="9">
        <f>PRODUCT(F244:K244)</f>
        <v>550.6</v>
      </c>
    </row>
    <row r="245" spans="1:12" x14ac:dyDescent="0.35">
      <c r="A245">
        <v>344</v>
      </c>
      <c r="B245" t="s">
        <v>32</v>
      </c>
      <c r="C245" t="s">
        <v>31</v>
      </c>
      <c r="D245" t="s">
        <v>30</v>
      </c>
      <c r="E245">
        <v>45486</v>
      </c>
      <c r="F245">
        <v>12378</v>
      </c>
      <c r="G245" t="s">
        <v>29</v>
      </c>
      <c r="H245" t="str">
        <f>INDEX([1]CUSTOMER_DATA!B:B, MATCH(B245, [1]CUSTOMER_DATA!A:A, 0))</f>
        <v>Retail</v>
      </c>
      <c r="I245" t="str">
        <f>IFERROR(
    INDEX([1]CUSTOMER_DATA!C:C, MATCH(B245, [1]CUSTOMER_DATA!A:A, 0)),
    "Unknown"
)</f>
        <v>Delhi</v>
      </c>
      <c r="J245" t="str">
        <f>IF(F245&gt;=20000,"high",IF(F245&gt;15000,"medium","low"))</f>
        <v>low</v>
      </c>
      <c r="K245" s="10">
        <f>IF(J246="high",0.1,IF(J246="medium",0.07,0.05))</f>
        <v>0.05</v>
      </c>
      <c r="L245" s="9">
        <f>PRODUCT(F245:K245)</f>
        <v>618.90000000000009</v>
      </c>
    </row>
    <row r="246" spans="1:12" x14ac:dyDescent="0.35">
      <c r="A246">
        <v>345</v>
      </c>
      <c r="B246" t="s">
        <v>28</v>
      </c>
      <c r="C246" t="s">
        <v>17</v>
      </c>
      <c r="D246" t="s">
        <v>16</v>
      </c>
      <c r="E246">
        <v>45024</v>
      </c>
      <c r="F246">
        <v>14439</v>
      </c>
      <c r="G246" t="s">
        <v>19</v>
      </c>
      <c r="H246" t="str">
        <f>INDEX([1]CUSTOMER_DATA!B:B, MATCH(B246, [1]CUSTOMER_DATA!A:A, 0))</f>
        <v>SMB</v>
      </c>
      <c r="I246" t="str">
        <f>IFERROR(
    INDEX([1]CUSTOMER_DATA!C:C, MATCH(B246, [1]CUSTOMER_DATA!A:A, 0)),
    "Unknown"
)</f>
        <v>Chennai</v>
      </c>
      <c r="J246" t="str">
        <f>IF(F246&gt;=20000,"high",IF(F246&gt;15000,"medium","low"))</f>
        <v>low</v>
      </c>
      <c r="K246" s="10">
        <f>IF(J247="high",0.1,IF(J247="medium",0.07,0.05))</f>
        <v>0.1</v>
      </c>
      <c r="L246" s="9">
        <f>PRODUCT(F246:K246)</f>
        <v>1443.9</v>
      </c>
    </row>
    <row r="247" spans="1:12" x14ac:dyDescent="0.35">
      <c r="A247">
        <v>346</v>
      </c>
      <c r="B247" t="s">
        <v>27</v>
      </c>
      <c r="C247" t="s">
        <v>23</v>
      </c>
      <c r="D247" t="s">
        <v>26</v>
      </c>
      <c r="E247">
        <v>44357</v>
      </c>
      <c r="F247">
        <v>20000</v>
      </c>
      <c r="G247" t="s">
        <v>25</v>
      </c>
      <c r="H247" t="str">
        <f>INDEX([1]CUSTOMER_DATA!B:B, MATCH(B247, [1]CUSTOMER_DATA!A:A, 0))</f>
        <v>Corporate</v>
      </c>
      <c r="I247" t="str">
        <f>IFERROR(
    INDEX([1]CUSTOMER_DATA!C:C, MATCH(B247, [1]CUSTOMER_DATA!A:A, 0)),
    "Unknown"
)</f>
        <v>Mumbai</v>
      </c>
      <c r="J247" t="str">
        <f>IF(F247&gt;=20000,"high",IF(F247&gt;15000,"medium","low"))</f>
        <v>high</v>
      </c>
      <c r="K247" s="10">
        <f>IF(J248="high",0.1,IF(J248="medium",0.07,0.05))</f>
        <v>7.0000000000000007E-2</v>
      </c>
      <c r="L247" s="9">
        <f>PRODUCT(F247:K247)</f>
        <v>1400.0000000000002</v>
      </c>
    </row>
    <row r="248" spans="1:12" x14ac:dyDescent="0.35">
      <c r="A248">
        <v>347</v>
      </c>
      <c r="B248" t="s">
        <v>24</v>
      </c>
      <c r="C248" t="s">
        <v>23</v>
      </c>
      <c r="D248" t="s">
        <v>20</v>
      </c>
      <c r="E248">
        <v>43958</v>
      </c>
      <c r="F248">
        <v>19524</v>
      </c>
      <c r="G248" t="s">
        <v>15</v>
      </c>
      <c r="H248" t="str">
        <f>INDEX([1]CUSTOMER_DATA!B:B, MATCH(B248, [1]CUSTOMER_DATA!A:A, 0))</f>
        <v>Corporate</v>
      </c>
      <c r="I248" t="str">
        <f>IFERROR(
    INDEX([1]CUSTOMER_DATA!C:C, MATCH(B248, [1]CUSTOMER_DATA!A:A, 0)),
    "Unknown"
)</f>
        <v>Ahmedabad</v>
      </c>
      <c r="J248" t="str">
        <f>IF(F248&gt;=20000,"high",IF(F248&gt;15000,"medium","low"))</f>
        <v>medium</v>
      </c>
      <c r="K248" s="10">
        <f>IF(J249="high",0.1,IF(J249="medium",0.07,0.05))</f>
        <v>7.0000000000000007E-2</v>
      </c>
      <c r="L248" s="9">
        <f>PRODUCT(F248:K248)</f>
        <v>1366.68</v>
      </c>
    </row>
    <row r="249" spans="1:12" x14ac:dyDescent="0.35">
      <c r="A249">
        <v>348</v>
      </c>
      <c r="B249" t="s">
        <v>22</v>
      </c>
      <c r="C249" t="s">
        <v>21</v>
      </c>
      <c r="D249" t="s">
        <v>20</v>
      </c>
      <c r="E249">
        <v>45546</v>
      </c>
      <c r="F249">
        <v>15459</v>
      </c>
      <c r="G249" t="s">
        <v>19</v>
      </c>
      <c r="H249" t="str">
        <f>INDEX([1]CUSTOMER_DATA!B:B, MATCH(B249, [1]CUSTOMER_DATA!A:A, 0))</f>
        <v>Retail</v>
      </c>
      <c r="I249" t="str">
        <f>IFERROR(
    INDEX([1]CUSTOMER_DATA!C:C, MATCH(B249, [1]CUSTOMER_DATA!A:A, 0)),
    "Unknown"
)</f>
        <v>Kolkata</v>
      </c>
      <c r="J249" t="str">
        <f>IF(F249&gt;=20000,"high",IF(F249&gt;15000,"medium","low"))</f>
        <v>medium</v>
      </c>
      <c r="K249" s="10">
        <f>IF(J250="high",0.1,IF(J250="medium",0.07,0.05))</f>
        <v>7.0000000000000007E-2</v>
      </c>
      <c r="L249" s="9">
        <f>PRODUCT(F249:K249)</f>
        <v>1082.1300000000001</v>
      </c>
    </row>
    <row r="250" spans="1:12" x14ac:dyDescent="0.35">
      <c r="A250">
        <v>349</v>
      </c>
      <c r="B250" t="s">
        <v>18</v>
      </c>
      <c r="C250" t="s">
        <v>17</v>
      </c>
      <c r="D250" t="s">
        <v>16</v>
      </c>
      <c r="E250">
        <v>44035</v>
      </c>
      <c r="F250">
        <v>15496</v>
      </c>
      <c r="G250" t="s">
        <v>15</v>
      </c>
      <c r="H250" t="str">
        <f>INDEX([1]CUSTOMER_DATA!B:B, MATCH(B250, [1]CUSTOMER_DATA!A:A, 0))</f>
        <v>SMB</v>
      </c>
      <c r="I250" t="str">
        <f>IFERROR(
    INDEX([1]CUSTOMER_DATA!C:C, MATCH(B250, [1]CUSTOMER_DATA!A:A, 0)),
    "Unknown"
)</f>
        <v>Pune</v>
      </c>
      <c r="J250" t="str">
        <f>IF(F250&gt;=20000,"high",IF(F250&gt;15000,"medium","low"))</f>
        <v>medium</v>
      </c>
      <c r="K250" s="10">
        <f>IF(J251="high",0.1,IF(J251="medium",0.07,0.05))</f>
        <v>0.05</v>
      </c>
      <c r="L250" s="9">
        <f>PRODUCT(F250:K250)</f>
        <v>774.80000000000007</v>
      </c>
    </row>
    <row r="253" spans="1:12" x14ac:dyDescent="0.35">
      <c r="B253" t="s">
        <v>14</v>
      </c>
      <c r="C253" t="s">
        <v>13</v>
      </c>
      <c r="D253" t="s">
        <v>12</v>
      </c>
      <c r="E253" s="8" t="s">
        <v>11</v>
      </c>
      <c r="F253" s="7" t="s">
        <v>10</v>
      </c>
      <c r="G253" s="8" t="s">
        <v>9</v>
      </c>
      <c r="H253" s="7" t="s">
        <v>8</v>
      </c>
      <c r="I253" s="8" t="s">
        <v>7</v>
      </c>
      <c r="J253" s="7" t="s">
        <v>6</v>
      </c>
    </row>
    <row r="254" spans="1:12" x14ac:dyDescent="0.35">
      <c r="B254">
        <v>10699</v>
      </c>
      <c r="C254">
        <v>20000</v>
      </c>
      <c r="D254">
        <v>249</v>
      </c>
      <c r="E254" s="5">
        <f>SUMIF(Table2[Segment],H248,Table2[Revenue])</f>
        <v>2026120</v>
      </c>
      <c r="F254" s="4" t="s">
        <v>5</v>
      </c>
      <c r="G254" s="5">
        <f>COUNTIF(Table2[Segment],H248)</f>
        <v>124</v>
      </c>
      <c r="H254" s="4" t="s">
        <v>5</v>
      </c>
      <c r="I254" s="5">
        <f>AVERAGEIF(Table2[Segment],H247,Table2[Revenue])</f>
        <v>16339.677419354839</v>
      </c>
      <c r="J254" s="4" t="s">
        <v>5</v>
      </c>
    </row>
    <row r="255" spans="1:12" x14ac:dyDescent="0.35">
      <c r="B255" s="6" t="s">
        <v>4</v>
      </c>
      <c r="C255" s="6" t="s">
        <v>3</v>
      </c>
      <c r="E255" s="5">
        <f>SUMIF(Table2[Segment],H249,Table2[Revenue])</f>
        <v>1033223</v>
      </c>
      <c r="F255" s="4" t="s">
        <v>2</v>
      </c>
      <c r="G255" s="5">
        <f>COUNTIF(Table2[Segment],H249)</f>
        <v>81</v>
      </c>
      <c r="H255" s="4" t="s">
        <v>2</v>
      </c>
      <c r="I255" s="5">
        <f>AVERAGEIF(Table2[Segment],H249,Table2[Revenue])</f>
        <v>12755.839506172839</v>
      </c>
      <c r="J255" s="4" t="s">
        <v>2</v>
      </c>
    </row>
    <row r="256" spans="1:12" x14ac:dyDescent="0.35">
      <c r="B256">
        <v>15214.329317269076</v>
      </c>
      <c r="C256">
        <v>3788368</v>
      </c>
      <c r="E256" s="3">
        <f>SUMIF(Table2[Segment],H250,Table2[Revenue])</f>
        <v>729025</v>
      </c>
      <c r="F256" s="2" t="s">
        <v>1</v>
      </c>
      <c r="G256" s="3">
        <f>COUNTIF(Table2[Segment],H250)</f>
        <v>44</v>
      </c>
      <c r="H256" s="2" t="s">
        <v>1</v>
      </c>
      <c r="I256" s="3">
        <f>AVERAGEIF(Table2[Segment],H250,Table2[Revenue])</f>
        <v>16568.75</v>
      </c>
      <c r="J256" s="2" t="s">
        <v>1</v>
      </c>
    </row>
    <row r="258" spans="2:2" x14ac:dyDescent="0.35">
      <c r="B258" s="1" t="s">
        <v>0</v>
      </c>
    </row>
    <row r="259" spans="2:2" x14ac:dyDescent="0.35">
      <c r="B259">
        <f>C256/GETPIVOTDATA("Count of Order_ID",$B$253)</f>
        <v>15214.329317269076</v>
      </c>
    </row>
  </sheetData>
  <pageMargins left="0.7" right="0.7" top="0.75" bottom="0.75" header="0.3" footer="0.3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CUSTOMER_DATA</vt:lpstr>
      <vt:lpstr>Sales_data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sahl sayed</dc:creator>
  <cp:lastModifiedBy>sahl sayed</cp:lastModifiedBy>
  <dcterms:created xsi:type="dcterms:W3CDTF">2026-02-22T21:19:52Z</dcterms:created>
  <dcterms:modified xsi:type="dcterms:W3CDTF">2026-02-22T21:21:50Z</dcterms:modified>
</cp:coreProperties>
</file>